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s932\Downloads\"/>
    </mc:Choice>
  </mc:AlternateContent>
  <xr:revisionPtr revIDLastSave="0" documentId="8_{F381EB30-E8DA-4395-88BC-2DE28B075051}" xr6:coauthVersionLast="47" xr6:coauthVersionMax="47" xr10:uidLastSave="{00000000-0000-0000-0000-000000000000}"/>
  <bookViews>
    <workbookView xWindow="-28920" yWindow="-120" windowWidth="29040" windowHeight="15720" activeTab="2" xr2:uid="{3F386733-8E98-484C-BC56-0B5200F84E30}"/>
  </bookViews>
  <sheets>
    <sheet name="Oxidant Feed Composition" sheetId="1" r:id="rId1"/>
    <sheet name="Chemical List" sheetId="4" r:id="rId2"/>
    <sheet name="eLLE Bals" sheetId="3" r:id="rId3"/>
    <sheet name="PFD with Stream Indices" sheetId="5" r:id="rId4"/>
    <sheet name="S1-3 Stg S2-4 Stg Stream Flows" sheetId="2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2" i="3" l="1"/>
  <c r="N24" i="1"/>
  <c r="N25" i="1" s="1"/>
  <c r="N20" i="1"/>
  <c r="C9" i="2"/>
  <c r="C3" i="2"/>
  <c r="BX2" i="3"/>
  <c r="BQ2" i="3"/>
  <c r="M13" i="2" s="1"/>
  <c r="N13" i="2" s="1"/>
  <c r="AH3" i="2"/>
  <c r="P3" i="2"/>
  <c r="AH27" i="2"/>
  <c r="AG27" i="2"/>
  <c r="AN13" i="2"/>
  <c r="AN15" i="2"/>
  <c r="AN16" i="2"/>
  <c r="AN18" i="2"/>
  <c r="AN19" i="2"/>
  <c r="AN20" i="2"/>
  <c r="AN21" i="2"/>
  <c r="AN22" i="2"/>
  <c r="AN23" i="2"/>
  <c r="AN24" i="2"/>
  <c r="AN14" i="2"/>
  <c r="AN6" i="2"/>
  <c r="AL6" i="2"/>
  <c r="AL7" i="2"/>
  <c r="AL8" i="2"/>
  <c r="AL9" i="2"/>
  <c r="AL10" i="2"/>
  <c r="AL11" i="2"/>
  <c r="AL14" i="2"/>
  <c r="AL15" i="2"/>
  <c r="AL16" i="2"/>
  <c r="AL18" i="2"/>
  <c r="AL19" i="2"/>
  <c r="AL20" i="2"/>
  <c r="AL21" i="2"/>
  <c r="AL22" i="2"/>
  <c r="AL23" i="2"/>
  <c r="AL24" i="2"/>
  <c r="AI18" i="2"/>
  <c r="AJ17" i="2"/>
  <c r="AK13" i="2"/>
  <c r="AK12" i="2"/>
  <c r="AG22" i="2"/>
  <c r="AG23" i="2"/>
  <c r="AG21" i="2"/>
  <c r="AH24" i="2"/>
  <c r="AF18" i="2"/>
  <c r="AF15" i="2"/>
  <c r="AF16" i="2"/>
  <c r="AF14" i="2"/>
  <c r="AE27" i="2"/>
  <c r="AC27" i="2"/>
  <c r="AD27" i="2"/>
  <c r="AD16" i="2"/>
  <c r="AD15" i="2"/>
  <c r="AD14" i="2"/>
  <c r="AD8" i="2"/>
  <c r="AD12" i="2"/>
  <c r="AD3" i="2"/>
  <c r="AE3" i="2" s="1"/>
  <c r="AC3" i="2"/>
  <c r="W3" i="2"/>
  <c r="AA3" i="2" s="1"/>
  <c r="W9" i="2"/>
  <c r="AA9" i="2" s="1"/>
  <c r="W12" i="2"/>
  <c r="X12" i="2" s="1"/>
  <c r="AC12" i="2" s="1"/>
  <c r="AC8" i="2" s="1"/>
  <c r="AE20" i="2" s="1"/>
  <c r="V11" i="2"/>
  <c r="V20" i="2"/>
  <c r="T6" i="2"/>
  <c r="V6" i="2" s="1"/>
  <c r="T7" i="2"/>
  <c r="V7" i="2" s="1"/>
  <c r="T8" i="2"/>
  <c r="V8" i="2" s="1"/>
  <c r="T9" i="2"/>
  <c r="V9" i="2" s="1"/>
  <c r="T10" i="2"/>
  <c r="V10" i="2" s="1"/>
  <c r="T11" i="2"/>
  <c r="T14" i="2"/>
  <c r="V14" i="2" s="1"/>
  <c r="T15" i="2"/>
  <c r="V15" i="2" s="1"/>
  <c r="T16" i="2"/>
  <c r="V16" i="2" s="1"/>
  <c r="T18" i="2"/>
  <c r="V18" i="2" s="1"/>
  <c r="T19" i="2"/>
  <c r="V19" i="2" s="1"/>
  <c r="T20" i="2"/>
  <c r="T21" i="2"/>
  <c r="V21" i="2" s="1"/>
  <c r="T22" i="2"/>
  <c r="V22" i="2" s="1"/>
  <c r="T23" i="2"/>
  <c r="V23" i="2" s="1"/>
  <c r="T24" i="2"/>
  <c r="V24" i="2" s="1"/>
  <c r="P27" i="2"/>
  <c r="O27" i="2"/>
  <c r="BL2" i="3"/>
  <c r="S12" i="2"/>
  <c r="O22" i="2"/>
  <c r="P24" i="2"/>
  <c r="N16" i="2"/>
  <c r="O23" i="2" s="1"/>
  <c r="N15" i="2"/>
  <c r="N14" i="2"/>
  <c r="O21" i="2" s="1"/>
  <c r="K6" i="2"/>
  <c r="L6" i="2" s="1"/>
  <c r="K16" i="2"/>
  <c r="K15" i="2"/>
  <c r="L15" i="2" s="1"/>
  <c r="K14" i="2"/>
  <c r="L14" i="2" s="1"/>
  <c r="H3" i="2"/>
  <c r="I3" i="2" s="1"/>
  <c r="J3" i="2" s="1"/>
  <c r="I16" i="2"/>
  <c r="M16" i="2" s="1"/>
  <c r="I15" i="2"/>
  <c r="M15" i="2" s="1"/>
  <c r="I14" i="2"/>
  <c r="M14" i="2" s="1"/>
  <c r="I12" i="2"/>
  <c r="J27" i="2"/>
  <c r="M3" i="2"/>
  <c r="N3" i="2" s="1"/>
  <c r="Q3" i="2" s="1"/>
  <c r="R3" i="2" s="1"/>
  <c r="B12" i="2"/>
  <c r="B3" i="2" s="1"/>
  <c r="F3" i="2" s="1"/>
  <c r="K3" i="2"/>
  <c r="K13" i="2" s="1"/>
  <c r="L13" i="2" s="1"/>
  <c r="C12" i="2"/>
  <c r="B10" i="2"/>
  <c r="F10" i="2" s="1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C1" i="2"/>
  <c r="CA97" i="3"/>
  <c r="AT2" i="3"/>
  <c r="AW2" i="3" s="1"/>
  <c r="BF2" i="3"/>
  <c r="BH3" i="3"/>
  <c r="BH4" i="3"/>
  <c r="BH5" i="3"/>
  <c r="BH6" i="3"/>
  <c r="BH7" i="3"/>
  <c r="BM7" i="3" s="1"/>
  <c r="BH8" i="3"/>
  <c r="BH9" i="3"/>
  <c r="BH10" i="3"/>
  <c r="BH11" i="3"/>
  <c r="BH12" i="3"/>
  <c r="BH13" i="3"/>
  <c r="BH14" i="3"/>
  <c r="BH15" i="3"/>
  <c r="BH16" i="3"/>
  <c r="BH17" i="3"/>
  <c r="BH18" i="3"/>
  <c r="BH19" i="3"/>
  <c r="BM19" i="3" s="1"/>
  <c r="BH20" i="3"/>
  <c r="BH21" i="3"/>
  <c r="BH22" i="3"/>
  <c r="BH23" i="3"/>
  <c r="BH24" i="3"/>
  <c r="BH25" i="3"/>
  <c r="BH26" i="3"/>
  <c r="BH27" i="3"/>
  <c r="BH28" i="3"/>
  <c r="BH29" i="3"/>
  <c r="BH30" i="3"/>
  <c r="BH31" i="3"/>
  <c r="BN31" i="3" s="1"/>
  <c r="BW31" i="3" s="1"/>
  <c r="BH32" i="3"/>
  <c r="BH33" i="3"/>
  <c r="BH34" i="3"/>
  <c r="BH35" i="3"/>
  <c r="BH36" i="3"/>
  <c r="BH37" i="3"/>
  <c r="BH38" i="3"/>
  <c r="BH39" i="3"/>
  <c r="BH40" i="3"/>
  <c r="BH41" i="3"/>
  <c r="BH42" i="3"/>
  <c r="BH43" i="3"/>
  <c r="BM43" i="3" s="1"/>
  <c r="BH44" i="3"/>
  <c r="BH45" i="3"/>
  <c r="BH46" i="3"/>
  <c r="BH47" i="3"/>
  <c r="BH48" i="3"/>
  <c r="BH49" i="3"/>
  <c r="BH50" i="3"/>
  <c r="BH51" i="3"/>
  <c r="BH52" i="3"/>
  <c r="BH53" i="3"/>
  <c r="BH54" i="3"/>
  <c r="BH55" i="3"/>
  <c r="BM55" i="3" s="1"/>
  <c r="BH56" i="3"/>
  <c r="BH57" i="3"/>
  <c r="BH58" i="3"/>
  <c r="BH59" i="3"/>
  <c r="BH60" i="3"/>
  <c r="BH61" i="3"/>
  <c r="BH62" i="3"/>
  <c r="BH63" i="3"/>
  <c r="BH64" i="3"/>
  <c r="BH65" i="3"/>
  <c r="BH66" i="3"/>
  <c r="BH67" i="3"/>
  <c r="BH68" i="3"/>
  <c r="BH69" i="3"/>
  <c r="BH70" i="3"/>
  <c r="BH71" i="3"/>
  <c r="BH72" i="3"/>
  <c r="BH73" i="3"/>
  <c r="BH74" i="3"/>
  <c r="BH75" i="3"/>
  <c r="BH76" i="3"/>
  <c r="BH77" i="3"/>
  <c r="BH78" i="3"/>
  <c r="BH79" i="3"/>
  <c r="BH80" i="3"/>
  <c r="BH81" i="3"/>
  <c r="BH82" i="3"/>
  <c r="BH83" i="3"/>
  <c r="BH84" i="3"/>
  <c r="BH85" i="3"/>
  <c r="BH86" i="3"/>
  <c r="BH87" i="3"/>
  <c r="BH88" i="3"/>
  <c r="BH89" i="3"/>
  <c r="BH90" i="3"/>
  <c r="BH91" i="3"/>
  <c r="BH92" i="3"/>
  <c r="BH93" i="3"/>
  <c r="BH94" i="3"/>
  <c r="BH95" i="3"/>
  <c r="BH96" i="3"/>
  <c r="BH97" i="3"/>
  <c r="BH98" i="3"/>
  <c r="BH99" i="3"/>
  <c r="BH100" i="3"/>
  <c r="BH101" i="3"/>
  <c r="BH2" i="3"/>
  <c r="BG3" i="3"/>
  <c r="BM3" i="3" s="1"/>
  <c r="BG4" i="3"/>
  <c r="BG5" i="3"/>
  <c r="BG6" i="3"/>
  <c r="BG7" i="3"/>
  <c r="BG8" i="3"/>
  <c r="BG9" i="3"/>
  <c r="BG10" i="3"/>
  <c r="BG11" i="3"/>
  <c r="BG12" i="3"/>
  <c r="BG13" i="3"/>
  <c r="BG14" i="3"/>
  <c r="BG15" i="3"/>
  <c r="BG16" i="3"/>
  <c r="BG17" i="3"/>
  <c r="BG18" i="3"/>
  <c r="BG19" i="3"/>
  <c r="BG20" i="3"/>
  <c r="BG21" i="3"/>
  <c r="BG22" i="3"/>
  <c r="BG23" i="3"/>
  <c r="BG24" i="3"/>
  <c r="BG25" i="3"/>
  <c r="BG26" i="3"/>
  <c r="BG27" i="3"/>
  <c r="BM27" i="3" s="1"/>
  <c r="BG28" i="3"/>
  <c r="BG29" i="3"/>
  <c r="BG30" i="3"/>
  <c r="BG31" i="3"/>
  <c r="BG32" i="3"/>
  <c r="BG33" i="3"/>
  <c r="BG34" i="3"/>
  <c r="BG35" i="3"/>
  <c r="BG36" i="3"/>
  <c r="BG37" i="3"/>
  <c r="BG38" i="3"/>
  <c r="BG39" i="3"/>
  <c r="BM39" i="3" s="1"/>
  <c r="BG40" i="3"/>
  <c r="BG41" i="3"/>
  <c r="BG42" i="3"/>
  <c r="BG43" i="3"/>
  <c r="BG44" i="3"/>
  <c r="BG45" i="3"/>
  <c r="BG46" i="3"/>
  <c r="BG47" i="3"/>
  <c r="BG48" i="3"/>
  <c r="BG49" i="3"/>
  <c r="BG50" i="3"/>
  <c r="BG51" i="3"/>
  <c r="BG52" i="3"/>
  <c r="BG53" i="3"/>
  <c r="BG54" i="3"/>
  <c r="BG55" i="3"/>
  <c r="BG56" i="3"/>
  <c r="BG57" i="3"/>
  <c r="BG58" i="3"/>
  <c r="BG59" i="3"/>
  <c r="BG60" i="3"/>
  <c r="BG61" i="3"/>
  <c r="BG62" i="3"/>
  <c r="BG63" i="3"/>
  <c r="BM63" i="3" s="1"/>
  <c r="BG64" i="3"/>
  <c r="BG65" i="3"/>
  <c r="BG66" i="3"/>
  <c r="BG67" i="3"/>
  <c r="BG68" i="3"/>
  <c r="BG69" i="3"/>
  <c r="BG70" i="3"/>
  <c r="BG71" i="3"/>
  <c r="BG72" i="3"/>
  <c r="BG73" i="3"/>
  <c r="BG74" i="3"/>
  <c r="BG75" i="3"/>
  <c r="BM75" i="3" s="1"/>
  <c r="BG76" i="3"/>
  <c r="BG77" i="3"/>
  <c r="BG78" i="3"/>
  <c r="BG79" i="3"/>
  <c r="BG80" i="3"/>
  <c r="BG81" i="3"/>
  <c r="BG82" i="3"/>
  <c r="BG83" i="3"/>
  <c r="BG84" i="3"/>
  <c r="BG85" i="3"/>
  <c r="BG86" i="3"/>
  <c r="BG87" i="3"/>
  <c r="BN87" i="3" s="1"/>
  <c r="BW87" i="3" s="1"/>
  <c r="BG88" i="3"/>
  <c r="BG89" i="3"/>
  <c r="BG90" i="3"/>
  <c r="BG91" i="3"/>
  <c r="BG92" i="3"/>
  <c r="BG93" i="3"/>
  <c r="BG94" i="3"/>
  <c r="BG95" i="3"/>
  <c r="BG96" i="3"/>
  <c r="BG97" i="3"/>
  <c r="BG98" i="3"/>
  <c r="BG99" i="3"/>
  <c r="BM99" i="3" s="1"/>
  <c r="BG100" i="3"/>
  <c r="BG101" i="3"/>
  <c r="BF3" i="3"/>
  <c r="BF4" i="3"/>
  <c r="BF5" i="3"/>
  <c r="BF6" i="3"/>
  <c r="BF7" i="3"/>
  <c r="BF8" i="3"/>
  <c r="BF9" i="3"/>
  <c r="BI9" i="3" s="1"/>
  <c r="BF10" i="3"/>
  <c r="BF11" i="3"/>
  <c r="BF12" i="3"/>
  <c r="BF13" i="3"/>
  <c r="BF14" i="3"/>
  <c r="BF15" i="3"/>
  <c r="BF16" i="3"/>
  <c r="BF17" i="3"/>
  <c r="BF18" i="3"/>
  <c r="BF19" i="3"/>
  <c r="BF20" i="3"/>
  <c r="BF21" i="3"/>
  <c r="BI21" i="3" s="1"/>
  <c r="BK21" i="3" s="1"/>
  <c r="BF22" i="3"/>
  <c r="BF23" i="3"/>
  <c r="BF24" i="3"/>
  <c r="BF25" i="3"/>
  <c r="BF26" i="3"/>
  <c r="BF27" i="3"/>
  <c r="BF28" i="3"/>
  <c r="BF29" i="3"/>
  <c r="BF30" i="3"/>
  <c r="BN30" i="3" s="1"/>
  <c r="BW30" i="3" s="1"/>
  <c r="BF31" i="3"/>
  <c r="BF32" i="3"/>
  <c r="BF33" i="3"/>
  <c r="BF34" i="3"/>
  <c r="BF35" i="3"/>
  <c r="BF36" i="3"/>
  <c r="BF37" i="3"/>
  <c r="BF38" i="3"/>
  <c r="BF39" i="3"/>
  <c r="BF40" i="3"/>
  <c r="BF41" i="3"/>
  <c r="BF42" i="3"/>
  <c r="BM42" i="3" s="1"/>
  <c r="BF43" i="3"/>
  <c r="BF44" i="3"/>
  <c r="BF45" i="3"/>
  <c r="BF46" i="3"/>
  <c r="BF47" i="3"/>
  <c r="BF48" i="3"/>
  <c r="BF49" i="3"/>
  <c r="BF50" i="3"/>
  <c r="BF51" i="3"/>
  <c r="BF52" i="3"/>
  <c r="BF53" i="3"/>
  <c r="BF54" i="3"/>
  <c r="BN54" i="3" s="1"/>
  <c r="BW54" i="3" s="1"/>
  <c r="BF55" i="3"/>
  <c r="BF56" i="3"/>
  <c r="BF57" i="3"/>
  <c r="BF58" i="3"/>
  <c r="BF59" i="3"/>
  <c r="BF60" i="3"/>
  <c r="BF61" i="3"/>
  <c r="BF62" i="3"/>
  <c r="BF63" i="3"/>
  <c r="BF64" i="3"/>
  <c r="BF65" i="3"/>
  <c r="BF66" i="3"/>
  <c r="BF67" i="3"/>
  <c r="BF68" i="3"/>
  <c r="BF69" i="3"/>
  <c r="BN69" i="3" s="1"/>
  <c r="BW69" i="3" s="1"/>
  <c r="BF70" i="3"/>
  <c r="BF71" i="3"/>
  <c r="BF72" i="3"/>
  <c r="BF73" i="3"/>
  <c r="BF74" i="3"/>
  <c r="BF75" i="3"/>
  <c r="BF76" i="3"/>
  <c r="BF77" i="3"/>
  <c r="BF78" i="3"/>
  <c r="BM78" i="3" s="1"/>
  <c r="BF79" i="3"/>
  <c r="BF80" i="3"/>
  <c r="BF81" i="3"/>
  <c r="BF82" i="3"/>
  <c r="BF83" i="3"/>
  <c r="BF84" i="3"/>
  <c r="BF85" i="3"/>
  <c r="BF86" i="3"/>
  <c r="BF87" i="3"/>
  <c r="BF88" i="3"/>
  <c r="BF89" i="3"/>
  <c r="BF90" i="3"/>
  <c r="BF91" i="3"/>
  <c r="BF92" i="3"/>
  <c r="BF93" i="3"/>
  <c r="BF94" i="3"/>
  <c r="BF95" i="3"/>
  <c r="BF96" i="3"/>
  <c r="BF97" i="3"/>
  <c r="BF98" i="3"/>
  <c r="BF99" i="3"/>
  <c r="BF100" i="3"/>
  <c r="BF101" i="3"/>
  <c r="BG2" i="3"/>
  <c r="BE87" i="3"/>
  <c r="BP87" i="3" s="1"/>
  <c r="BB87" i="3"/>
  <c r="AY2" i="3"/>
  <c r="BA3" i="3"/>
  <c r="BA4" i="3"/>
  <c r="BA5" i="3"/>
  <c r="BA6" i="3"/>
  <c r="BA7" i="3"/>
  <c r="BA8" i="3"/>
  <c r="BA9" i="3"/>
  <c r="BA10" i="3"/>
  <c r="BA11" i="3"/>
  <c r="BA12" i="3"/>
  <c r="BA13" i="3"/>
  <c r="BA14" i="3"/>
  <c r="BA15" i="3"/>
  <c r="BA16" i="3"/>
  <c r="BA17" i="3"/>
  <c r="BA18" i="3"/>
  <c r="BA19" i="3"/>
  <c r="BA20" i="3"/>
  <c r="BA21" i="3"/>
  <c r="BA22" i="3"/>
  <c r="BA23" i="3"/>
  <c r="BA24" i="3"/>
  <c r="BA25" i="3"/>
  <c r="BA26" i="3"/>
  <c r="BA27" i="3"/>
  <c r="BA28" i="3"/>
  <c r="BA29" i="3"/>
  <c r="BA30" i="3"/>
  <c r="BA31" i="3"/>
  <c r="BA32" i="3"/>
  <c r="BA33" i="3"/>
  <c r="BA34" i="3"/>
  <c r="BA35" i="3"/>
  <c r="BA36" i="3"/>
  <c r="BA37" i="3"/>
  <c r="BA38" i="3"/>
  <c r="BA39" i="3"/>
  <c r="BA40" i="3"/>
  <c r="BA41" i="3"/>
  <c r="BA42" i="3"/>
  <c r="BA43" i="3"/>
  <c r="BA44" i="3"/>
  <c r="BA45" i="3"/>
  <c r="BA46" i="3"/>
  <c r="BA47" i="3"/>
  <c r="BA48" i="3"/>
  <c r="BE48" i="3" s="1"/>
  <c r="BP48" i="3" s="1"/>
  <c r="BA49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BA63" i="3"/>
  <c r="BA64" i="3"/>
  <c r="BA65" i="3"/>
  <c r="BA66" i="3"/>
  <c r="BA67" i="3"/>
  <c r="BA68" i="3"/>
  <c r="BA69" i="3"/>
  <c r="BA70" i="3"/>
  <c r="BA71" i="3"/>
  <c r="BA72" i="3"/>
  <c r="BC72" i="3" s="1"/>
  <c r="BA73" i="3"/>
  <c r="BC73" i="3" s="1"/>
  <c r="BA74" i="3"/>
  <c r="BA75" i="3"/>
  <c r="BA76" i="3"/>
  <c r="BA77" i="3"/>
  <c r="BA78" i="3"/>
  <c r="BA79" i="3"/>
  <c r="BA80" i="3"/>
  <c r="BA81" i="3"/>
  <c r="BA82" i="3"/>
  <c r="BA83" i="3"/>
  <c r="BA84" i="3"/>
  <c r="BA85" i="3"/>
  <c r="BA86" i="3"/>
  <c r="BA87" i="3"/>
  <c r="BA88" i="3"/>
  <c r="BA89" i="3"/>
  <c r="BA90" i="3"/>
  <c r="BA91" i="3"/>
  <c r="BA92" i="3"/>
  <c r="BA93" i="3"/>
  <c r="BA94" i="3"/>
  <c r="BA95" i="3"/>
  <c r="BA96" i="3"/>
  <c r="BA97" i="3"/>
  <c r="BA98" i="3"/>
  <c r="BA99" i="3"/>
  <c r="BA100" i="3"/>
  <c r="BA101" i="3"/>
  <c r="AZ3" i="3"/>
  <c r="AZ4" i="3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32" i="3"/>
  <c r="AZ33" i="3"/>
  <c r="BC33" i="3" s="1"/>
  <c r="AZ34" i="3"/>
  <c r="AZ35" i="3"/>
  <c r="AZ36" i="3"/>
  <c r="AZ37" i="3"/>
  <c r="AZ38" i="3"/>
  <c r="AZ39" i="3"/>
  <c r="AZ40" i="3"/>
  <c r="AZ41" i="3"/>
  <c r="AZ42" i="3"/>
  <c r="AZ43" i="3"/>
  <c r="AZ44" i="3"/>
  <c r="AZ45" i="3"/>
  <c r="AZ46" i="3"/>
  <c r="AZ47" i="3"/>
  <c r="AZ48" i="3"/>
  <c r="AZ49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Z63" i="3"/>
  <c r="AZ64" i="3"/>
  <c r="AZ65" i="3"/>
  <c r="AZ66" i="3"/>
  <c r="AZ67" i="3"/>
  <c r="AZ68" i="3"/>
  <c r="AZ69" i="3"/>
  <c r="BB69" i="3" s="1"/>
  <c r="AZ70" i="3"/>
  <c r="BB70" i="3" s="1"/>
  <c r="AZ71" i="3"/>
  <c r="AZ72" i="3"/>
  <c r="AZ73" i="3"/>
  <c r="AZ74" i="3"/>
  <c r="AZ75" i="3"/>
  <c r="AZ76" i="3"/>
  <c r="AZ77" i="3"/>
  <c r="AZ78" i="3"/>
  <c r="AZ79" i="3"/>
  <c r="AZ80" i="3"/>
  <c r="AZ81" i="3"/>
  <c r="AZ82" i="3"/>
  <c r="AZ83" i="3"/>
  <c r="AZ84" i="3"/>
  <c r="AZ85" i="3"/>
  <c r="AZ86" i="3"/>
  <c r="AZ87" i="3"/>
  <c r="AZ88" i="3"/>
  <c r="AZ89" i="3"/>
  <c r="AZ90" i="3"/>
  <c r="AZ91" i="3"/>
  <c r="AZ92" i="3"/>
  <c r="AZ93" i="3"/>
  <c r="AZ94" i="3"/>
  <c r="AZ95" i="3"/>
  <c r="AZ96" i="3"/>
  <c r="AZ97" i="3"/>
  <c r="AZ98" i="3"/>
  <c r="AZ99" i="3"/>
  <c r="AZ100" i="3"/>
  <c r="AZ101" i="3"/>
  <c r="AY3" i="3"/>
  <c r="AY4" i="3"/>
  <c r="AY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BC31" i="3" s="1"/>
  <c r="AY32" i="3"/>
  <c r="BB32" i="3" s="1"/>
  <c r="AY33" i="3"/>
  <c r="AY34" i="3"/>
  <c r="AY35" i="3"/>
  <c r="AY36" i="3"/>
  <c r="AY37" i="3"/>
  <c r="AY38" i="3"/>
  <c r="AY39" i="3"/>
  <c r="AY40" i="3"/>
  <c r="AY41" i="3"/>
  <c r="AY42" i="3"/>
  <c r="AY43" i="3"/>
  <c r="BE43" i="3" s="1"/>
  <c r="BP43" i="3" s="1"/>
  <c r="AY44" i="3"/>
  <c r="AY45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Y63" i="3"/>
  <c r="AY64" i="3"/>
  <c r="AY65" i="3"/>
  <c r="AY66" i="3"/>
  <c r="AY67" i="3"/>
  <c r="BD67" i="3" s="1"/>
  <c r="AY68" i="3"/>
  <c r="BB68" i="3" s="1"/>
  <c r="AY69" i="3"/>
  <c r="AY70" i="3"/>
  <c r="AY71" i="3"/>
  <c r="AY72" i="3"/>
  <c r="AY73" i="3"/>
  <c r="AY74" i="3"/>
  <c r="AY75" i="3"/>
  <c r="AY76" i="3"/>
  <c r="AY77" i="3"/>
  <c r="AY78" i="3"/>
  <c r="AY79" i="3"/>
  <c r="AY80" i="3"/>
  <c r="AY81" i="3"/>
  <c r="AY82" i="3"/>
  <c r="AY83" i="3"/>
  <c r="AY84" i="3"/>
  <c r="AY85" i="3"/>
  <c r="AY86" i="3"/>
  <c r="AY87" i="3"/>
  <c r="AY88" i="3"/>
  <c r="AY89" i="3"/>
  <c r="AY90" i="3"/>
  <c r="AY91" i="3"/>
  <c r="AY92" i="3"/>
  <c r="AY93" i="3"/>
  <c r="AY94" i="3"/>
  <c r="AY95" i="3"/>
  <c r="AY96" i="3"/>
  <c r="AY97" i="3"/>
  <c r="AY98" i="3"/>
  <c r="AY99" i="3"/>
  <c r="AY100" i="3"/>
  <c r="AY101" i="3"/>
  <c r="BA2" i="3"/>
  <c r="AZ2" i="3"/>
  <c r="AP5" i="3"/>
  <c r="AW30" i="3"/>
  <c r="AW31" i="3"/>
  <c r="AR2" i="3"/>
  <c r="AU3" i="3"/>
  <c r="AU4" i="3"/>
  <c r="AU5" i="3"/>
  <c r="AU6" i="3"/>
  <c r="AX6" i="3" s="1"/>
  <c r="AU7" i="3"/>
  <c r="AU8" i="3"/>
  <c r="AU9" i="3"/>
  <c r="AU10" i="3"/>
  <c r="AU11" i="3"/>
  <c r="AU12" i="3"/>
  <c r="AU13" i="3"/>
  <c r="AU14" i="3"/>
  <c r="AU15" i="3"/>
  <c r="AU16" i="3"/>
  <c r="AU17" i="3"/>
  <c r="AU18" i="3"/>
  <c r="AX18" i="3" s="1"/>
  <c r="AU19" i="3"/>
  <c r="AU20" i="3"/>
  <c r="AU21" i="3"/>
  <c r="AU22" i="3"/>
  <c r="AU23" i="3"/>
  <c r="AU24" i="3"/>
  <c r="AU25" i="3"/>
  <c r="AU26" i="3"/>
  <c r="AU27" i="3"/>
  <c r="AU28" i="3"/>
  <c r="AU29" i="3"/>
  <c r="AU30" i="3"/>
  <c r="AX30" i="3" s="1"/>
  <c r="AU31" i="3"/>
  <c r="AU32" i="3"/>
  <c r="AU33" i="3"/>
  <c r="AU34" i="3"/>
  <c r="AU35" i="3"/>
  <c r="AU36" i="3"/>
  <c r="AU37" i="3"/>
  <c r="AU38" i="3"/>
  <c r="AU39" i="3"/>
  <c r="AU40" i="3"/>
  <c r="AU41" i="3"/>
  <c r="AX41" i="3" s="1"/>
  <c r="AU42" i="3"/>
  <c r="AX42" i="3" s="1"/>
  <c r="AU43" i="3"/>
  <c r="AU44" i="3"/>
  <c r="AU45" i="3"/>
  <c r="AU46" i="3"/>
  <c r="AU47" i="3"/>
  <c r="AU48" i="3"/>
  <c r="AU49" i="3"/>
  <c r="AU50" i="3"/>
  <c r="AU51" i="3"/>
  <c r="AU52" i="3"/>
  <c r="AU53" i="3"/>
  <c r="AU54" i="3"/>
  <c r="AX54" i="3" s="1"/>
  <c r="AU55" i="3"/>
  <c r="AU56" i="3"/>
  <c r="AU57" i="3"/>
  <c r="AU58" i="3"/>
  <c r="AU59" i="3"/>
  <c r="AU60" i="3"/>
  <c r="AU61" i="3"/>
  <c r="AU62" i="3"/>
  <c r="AU63" i="3"/>
  <c r="AU64" i="3"/>
  <c r="AU65" i="3"/>
  <c r="AU66" i="3"/>
  <c r="AX66" i="3" s="1"/>
  <c r="AU67" i="3"/>
  <c r="AU68" i="3"/>
  <c r="AU69" i="3"/>
  <c r="AU70" i="3"/>
  <c r="AU71" i="3"/>
  <c r="AU72" i="3"/>
  <c r="AU73" i="3"/>
  <c r="AU74" i="3"/>
  <c r="AU75" i="3"/>
  <c r="AU76" i="3"/>
  <c r="AU77" i="3"/>
  <c r="AU78" i="3"/>
  <c r="AX78" i="3" s="1"/>
  <c r="AU79" i="3"/>
  <c r="AU80" i="3"/>
  <c r="AU81" i="3"/>
  <c r="AU82" i="3"/>
  <c r="AU83" i="3"/>
  <c r="AU84" i="3"/>
  <c r="AU85" i="3"/>
  <c r="AU86" i="3"/>
  <c r="AU87" i="3"/>
  <c r="AU88" i="3"/>
  <c r="AU89" i="3"/>
  <c r="AU90" i="3"/>
  <c r="AX90" i="3" s="1"/>
  <c r="AU91" i="3"/>
  <c r="AU92" i="3"/>
  <c r="AU93" i="3"/>
  <c r="AU94" i="3"/>
  <c r="AU95" i="3"/>
  <c r="AU96" i="3"/>
  <c r="AU97" i="3"/>
  <c r="AU98" i="3"/>
  <c r="AU99" i="3"/>
  <c r="AU100" i="3"/>
  <c r="AU101" i="3"/>
  <c r="AU2" i="3"/>
  <c r="AQ2" i="3"/>
  <c r="AT3" i="3"/>
  <c r="AT4" i="3"/>
  <c r="AW4" i="3" s="1"/>
  <c r="AT5" i="3"/>
  <c r="AT6" i="3"/>
  <c r="AT7" i="3"/>
  <c r="AT8" i="3"/>
  <c r="AT9" i="3"/>
  <c r="AT10" i="3"/>
  <c r="AT11" i="3"/>
  <c r="AT12" i="3"/>
  <c r="AT13" i="3"/>
  <c r="AW13" i="3" s="1"/>
  <c r="AT14" i="3"/>
  <c r="AT15" i="3"/>
  <c r="AW15" i="3" s="1"/>
  <c r="AT16" i="3"/>
  <c r="AW16" i="3" s="1"/>
  <c r="AT17" i="3"/>
  <c r="AT18" i="3"/>
  <c r="AT19" i="3"/>
  <c r="AT20" i="3"/>
  <c r="AT21" i="3"/>
  <c r="AT22" i="3"/>
  <c r="AT23" i="3"/>
  <c r="AT24" i="3"/>
  <c r="AT25" i="3"/>
  <c r="AW25" i="3" s="1"/>
  <c r="AT26" i="3"/>
  <c r="AT27" i="3"/>
  <c r="AW27" i="3" s="1"/>
  <c r="AT28" i="3"/>
  <c r="AW28" i="3" s="1"/>
  <c r="AT29" i="3"/>
  <c r="AT30" i="3"/>
  <c r="AT31" i="3"/>
  <c r="AT32" i="3"/>
  <c r="AT33" i="3"/>
  <c r="AT34" i="3"/>
  <c r="AT35" i="3"/>
  <c r="AT36" i="3"/>
  <c r="AT37" i="3"/>
  <c r="AW37" i="3" s="1"/>
  <c r="AT38" i="3"/>
  <c r="AT39" i="3"/>
  <c r="AW39" i="3" s="1"/>
  <c r="AT40" i="3"/>
  <c r="AW40" i="3" s="1"/>
  <c r="AT41" i="3"/>
  <c r="AT42" i="3"/>
  <c r="AT43" i="3"/>
  <c r="AT44" i="3"/>
  <c r="AT45" i="3"/>
  <c r="AT46" i="3"/>
  <c r="AT47" i="3"/>
  <c r="AT48" i="3"/>
  <c r="AT49" i="3"/>
  <c r="AW49" i="3" s="1"/>
  <c r="AT50" i="3"/>
  <c r="AT51" i="3"/>
  <c r="AW51" i="3" s="1"/>
  <c r="AT52" i="3"/>
  <c r="AW52" i="3" s="1"/>
  <c r="AT53" i="3"/>
  <c r="AT54" i="3"/>
  <c r="AT55" i="3"/>
  <c r="AT56" i="3"/>
  <c r="AT57" i="3"/>
  <c r="AT58" i="3"/>
  <c r="AT59" i="3"/>
  <c r="AT60" i="3"/>
  <c r="AT61" i="3"/>
  <c r="AW61" i="3" s="1"/>
  <c r="AT62" i="3"/>
  <c r="AT63" i="3"/>
  <c r="AW63" i="3" s="1"/>
  <c r="AT64" i="3"/>
  <c r="AW64" i="3" s="1"/>
  <c r="AT65" i="3"/>
  <c r="AT66" i="3"/>
  <c r="AT67" i="3"/>
  <c r="AT68" i="3"/>
  <c r="AT69" i="3"/>
  <c r="AT70" i="3"/>
  <c r="AT71" i="3"/>
  <c r="AT72" i="3"/>
  <c r="AT73" i="3"/>
  <c r="AW73" i="3" s="1"/>
  <c r="AT74" i="3"/>
  <c r="AT75" i="3"/>
  <c r="AW75" i="3" s="1"/>
  <c r="AT76" i="3"/>
  <c r="AW76" i="3" s="1"/>
  <c r="AT77" i="3"/>
  <c r="AT78" i="3"/>
  <c r="AT79" i="3"/>
  <c r="AT80" i="3"/>
  <c r="AT81" i="3"/>
  <c r="AT82" i="3"/>
  <c r="AT83" i="3"/>
  <c r="AT84" i="3"/>
  <c r="AT85" i="3"/>
  <c r="AW85" i="3" s="1"/>
  <c r="AT86" i="3"/>
  <c r="AT87" i="3"/>
  <c r="AW87" i="3" s="1"/>
  <c r="AT88" i="3"/>
  <c r="AW88" i="3" s="1"/>
  <c r="AT89" i="3"/>
  <c r="AT90" i="3"/>
  <c r="AT91" i="3"/>
  <c r="AT92" i="3"/>
  <c r="AT93" i="3"/>
  <c r="AT94" i="3"/>
  <c r="AT95" i="3"/>
  <c r="AT96" i="3"/>
  <c r="AT97" i="3"/>
  <c r="AW97" i="3" s="1"/>
  <c r="AT98" i="3"/>
  <c r="AT99" i="3"/>
  <c r="AW99" i="3" s="1"/>
  <c r="AT100" i="3"/>
  <c r="AW100" i="3" s="1"/>
  <c r="AT101" i="3"/>
  <c r="AS3" i="3"/>
  <c r="AS4" i="3"/>
  <c r="AS5" i="3"/>
  <c r="AS6" i="3"/>
  <c r="AS7" i="3"/>
  <c r="AS8" i="3"/>
  <c r="AS9" i="3"/>
  <c r="AS10" i="3"/>
  <c r="AS11" i="3"/>
  <c r="AS12" i="3"/>
  <c r="AS13" i="3"/>
  <c r="AV13" i="3" s="1"/>
  <c r="AS14" i="3"/>
  <c r="AV14" i="3" s="1"/>
  <c r="AS15" i="3"/>
  <c r="AS16" i="3"/>
  <c r="AS17" i="3"/>
  <c r="AS18" i="3"/>
  <c r="AS19" i="3"/>
  <c r="AS20" i="3"/>
  <c r="AS21" i="3"/>
  <c r="AV21" i="3" s="1"/>
  <c r="AS22" i="3"/>
  <c r="AS23" i="3"/>
  <c r="AS24" i="3"/>
  <c r="AS25" i="3"/>
  <c r="AV25" i="3" s="1"/>
  <c r="AS26" i="3"/>
  <c r="AV26" i="3" s="1"/>
  <c r="AS27" i="3"/>
  <c r="AS28" i="3"/>
  <c r="AS29" i="3"/>
  <c r="AS30" i="3"/>
  <c r="AS31" i="3"/>
  <c r="AS32" i="3"/>
  <c r="AS33" i="3"/>
  <c r="AS34" i="3"/>
  <c r="AS35" i="3"/>
  <c r="AS36" i="3"/>
  <c r="AS37" i="3"/>
  <c r="AV37" i="3" s="1"/>
  <c r="AS38" i="3"/>
  <c r="AV38" i="3" s="1"/>
  <c r="AS39" i="3"/>
  <c r="AS40" i="3"/>
  <c r="AV40" i="3" s="1"/>
  <c r="AS41" i="3"/>
  <c r="AS42" i="3"/>
  <c r="AS43" i="3"/>
  <c r="AS44" i="3"/>
  <c r="AS45" i="3"/>
  <c r="AS46" i="3"/>
  <c r="AS47" i="3"/>
  <c r="AS48" i="3"/>
  <c r="AS49" i="3"/>
  <c r="AV49" i="3" s="1"/>
  <c r="AS50" i="3"/>
  <c r="AV50" i="3" s="1"/>
  <c r="AS51" i="3"/>
  <c r="AS52" i="3"/>
  <c r="AS53" i="3"/>
  <c r="AS54" i="3"/>
  <c r="AS55" i="3"/>
  <c r="AS56" i="3"/>
  <c r="AS57" i="3"/>
  <c r="AV57" i="3" s="1"/>
  <c r="AS58" i="3"/>
  <c r="AS59" i="3"/>
  <c r="AS60" i="3"/>
  <c r="AS61" i="3"/>
  <c r="AV61" i="3" s="1"/>
  <c r="AS62" i="3"/>
  <c r="AV62" i="3" s="1"/>
  <c r="AS63" i="3"/>
  <c r="AS64" i="3"/>
  <c r="AS65" i="3"/>
  <c r="AS66" i="3"/>
  <c r="AS67" i="3"/>
  <c r="AS68" i="3"/>
  <c r="AS69" i="3"/>
  <c r="AS70" i="3"/>
  <c r="AS71" i="3"/>
  <c r="AS72" i="3"/>
  <c r="AS73" i="3"/>
  <c r="AV73" i="3" s="1"/>
  <c r="AS74" i="3"/>
  <c r="AV74" i="3" s="1"/>
  <c r="AS75" i="3"/>
  <c r="AS76" i="3"/>
  <c r="AS77" i="3"/>
  <c r="AS78" i="3"/>
  <c r="AS79" i="3"/>
  <c r="AS80" i="3"/>
  <c r="AS81" i="3"/>
  <c r="AS82" i="3"/>
  <c r="AS83" i="3"/>
  <c r="AS84" i="3"/>
  <c r="AS85" i="3"/>
  <c r="AV85" i="3" s="1"/>
  <c r="AS86" i="3"/>
  <c r="AV86" i="3" s="1"/>
  <c r="AS87" i="3"/>
  <c r="AS88" i="3"/>
  <c r="AS89" i="3"/>
  <c r="AS90" i="3"/>
  <c r="AS91" i="3"/>
  <c r="AS92" i="3"/>
  <c r="AS93" i="3"/>
  <c r="AV93" i="3" s="1"/>
  <c r="AS94" i="3"/>
  <c r="AS95" i="3"/>
  <c r="AV95" i="3" s="1"/>
  <c r="AS96" i="3"/>
  <c r="AS97" i="3"/>
  <c r="AV97" i="3" s="1"/>
  <c r="AS98" i="3"/>
  <c r="AV98" i="3" s="1"/>
  <c r="AS99" i="3"/>
  <c r="AS100" i="3"/>
  <c r="AS101" i="3"/>
  <c r="AS2" i="3"/>
  <c r="AL2" i="3"/>
  <c r="G48" i="1"/>
  <c r="C48" i="1"/>
  <c r="D48" i="1"/>
  <c r="E48" i="1"/>
  <c r="F48" i="1"/>
  <c r="B48" i="1"/>
  <c r="I47" i="1"/>
  <c r="I48" i="1" s="1"/>
  <c r="H47" i="1"/>
  <c r="H48" i="1" s="1"/>
  <c r="B47" i="1"/>
  <c r="D12" i="1"/>
  <c r="D47" i="1"/>
  <c r="F47" i="1"/>
  <c r="J47" i="1" s="1"/>
  <c r="J48" i="1" s="1"/>
  <c r="E40" i="1"/>
  <c r="F40" i="1" s="1"/>
  <c r="D46" i="1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Q3" i="3"/>
  <c r="AQ4" i="3"/>
  <c r="AQ5" i="3"/>
  <c r="AQ6" i="3"/>
  <c r="AQ7" i="3"/>
  <c r="AQ8" i="3"/>
  <c r="AQ9" i="3"/>
  <c r="AQ10" i="3"/>
  <c r="AQ11" i="3"/>
  <c r="AQ12" i="3"/>
  <c r="AQ13" i="3"/>
  <c r="AX13" i="3" s="1"/>
  <c r="AQ14" i="3"/>
  <c r="AQ15" i="3"/>
  <c r="AQ16" i="3"/>
  <c r="AQ17" i="3"/>
  <c r="AQ18" i="3"/>
  <c r="AQ19" i="3"/>
  <c r="AQ20" i="3"/>
  <c r="AQ21" i="3"/>
  <c r="AQ22" i="3"/>
  <c r="AQ23" i="3"/>
  <c r="AX23" i="3" s="1"/>
  <c r="AQ24" i="3"/>
  <c r="AQ25" i="3"/>
  <c r="AX25" i="3" s="1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X47" i="3" s="1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Q72" i="3"/>
  <c r="AQ73" i="3"/>
  <c r="AQ74" i="3"/>
  <c r="AQ75" i="3"/>
  <c r="AQ76" i="3"/>
  <c r="AQ77" i="3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X97" i="3" s="1"/>
  <c r="AQ98" i="3"/>
  <c r="AQ99" i="3"/>
  <c r="AQ100" i="3"/>
  <c r="AQ101" i="3"/>
  <c r="AP3" i="3"/>
  <c r="AP4" i="3"/>
  <c r="AP6" i="3"/>
  <c r="AW6" i="3" s="1"/>
  <c r="AP7" i="3"/>
  <c r="AP8" i="3"/>
  <c r="AW8" i="3" s="1"/>
  <c r="AP9" i="3"/>
  <c r="AP10" i="3"/>
  <c r="AP11" i="3"/>
  <c r="AP12" i="3"/>
  <c r="AP13" i="3"/>
  <c r="AP14" i="3"/>
  <c r="AP15" i="3"/>
  <c r="AP16" i="3"/>
  <c r="AP17" i="3"/>
  <c r="AP18" i="3"/>
  <c r="AP19" i="3"/>
  <c r="AW19" i="3" s="1"/>
  <c r="AP20" i="3"/>
  <c r="AW20" i="3" s="1"/>
  <c r="AP21" i="3"/>
  <c r="AP22" i="3"/>
  <c r="AP23" i="3"/>
  <c r="AP24" i="3"/>
  <c r="AP25" i="3"/>
  <c r="AP26" i="3"/>
  <c r="AP27" i="3"/>
  <c r="AP28" i="3"/>
  <c r="AP29" i="3"/>
  <c r="AP30" i="3"/>
  <c r="AP31" i="3"/>
  <c r="AP32" i="3"/>
  <c r="AW32" i="3" s="1"/>
  <c r="AP33" i="3"/>
  <c r="AP34" i="3"/>
  <c r="AP35" i="3"/>
  <c r="AP36" i="3"/>
  <c r="AP37" i="3"/>
  <c r="AP38" i="3"/>
  <c r="AP39" i="3"/>
  <c r="AP40" i="3"/>
  <c r="AP41" i="3"/>
  <c r="AP42" i="3"/>
  <c r="AP43" i="3"/>
  <c r="AP44" i="3"/>
  <c r="AW44" i="3" s="1"/>
  <c r="AP45" i="3"/>
  <c r="AP46" i="3"/>
  <c r="AP47" i="3"/>
  <c r="AP48" i="3"/>
  <c r="AP49" i="3"/>
  <c r="AP50" i="3"/>
  <c r="AP51" i="3"/>
  <c r="AP52" i="3"/>
  <c r="AP53" i="3"/>
  <c r="AP54" i="3"/>
  <c r="AP55" i="3"/>
  <c r="AP56" i="3"/>
  <c r="AW56" i="3" s="1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W92" i="3" s="1"/>
  <c r="AP93" i="3"/>
  <c r="AP94" i="3"/>
  <c r="AP95" i="3"/>
  <c r="AP96" i="3"/>
  <c r="AP97" i="3"/>
  <c r="AP98" i="3"/>
  <c r="AP99" i="3"/>
  <c r="AP100" i="3"/>
  <c r="AP101" i="3"/>
  <c r="AP2" i="3"/>
  <c r="AO3" i="3"/>
  <c r="AV3" i="3" s="1"/>
  <c r="AO4" i="3"/>
  <c r="AV4" i="3" s="1"/>
  <c r="AO5" i="3"/>
  <c r="AO6" i="3"/>
  <c r="AO7" i="3"/>
  <c r="AO8" i="3"/>
  <c r="AO9" i="3"/>
  <c r="AO10" i="3"/>
  <c r="AO11" i="3"/>
  <c r="AO12" i="3"/>
  <c r="AO13" i="3"/>
  <c r="AO14" i="3"/>
  <c r="AO15" i="3"/>
  <c r="AV15" i="3" s="1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V28" i="3" s="1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V63" i="3" s="1"/>
  <c r="AO64" i="3"/>
  <c r="AV64" i="3" s="1"/>
  <c r="AO65" i="3"/>
  <c r="AO66" i="3"/>
  <c r="AO67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O81" i="3"/>
  <c r="AO82" i="3"/>
  <c r="AO83" i="3"/>
  <c r="AO84" i="3"/>
  <c r="AO85" i="3"/>
  <c r="AO86" i="3"/>
  <c r="AO87" i="3"/>
  <c r="AO88" i="3"/>
  <c r="AO89" i="3"/>
  <c r="AO90" i="3"/>
  <c r="AO91" i="3"/>
  <c r="AO92" i="3"/>
  <c r="AO93" i="3"/>
  <c r="AO94" i="3"/>
  <c r="AO95" i="3"/>
  <c r="AO96" i="3"/>
  <c r="AO97" i="3"/>
  <c r="AO98" i="3"/>
  <c r="AO99" i="3"/>
  <c r="AO100" i="3"/>
  <c r="AO101" i="3"/>
  <c r="AO2" i="3"/>
  <c r="AM24" i="3"/>
  <c r="AL3" i="3"/>
  <c r="AL4" i="3"/>
  <c r="AL5" i="3"/>
  <c r="AL6" i="3"/>
  <c r="AL7" i="3"/>
  <c r="AL8" i="3"/>
  <c r="AL9" i="3"/>
  <c r="AL10" i="3"/>
  <c r="AM10" i="3" s="1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M69" i="3" s="1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K2" i="3"/>
  <c r="AK18" i="3"/>
  <c r="AK33" i="3"/>
  <c r="BX33" i="3" s="1"/>
  <c r="AK44" i="3"/>
  <c r="AK63" i="3"/>
  <c r="AI3" i="3"/>
  <c r="AK3" i="3" s="1"/>
  <c r="AI4" i="3"/>
  <c r="AK4" i="3" s="1"/>
  <c r="AI5" i="3"/>
  <c r="AK5" i="3" s="1"/>
  <c r="AI6" i="3"/>
  <c r="AK6" i="3" s="1"/>
  <c r="AI7" i="3"/>
  <c r="AK7" i="3" s="1"/>
  <c r="AI8" i="3"/>
  <c r="AK8" i="3" s="1"/>
  <c r="AI9" i="3"/>
  <c r="AK9" i="3" s="1"/>
  <c r="BX9" i="3" s="1"/>
  <c r="AI10" i="3"/>
  <c r="AK10" i="3" s="1"/>
  <c r="BX10" i="3" s="1"/>
  <c r="AI11" i="3"/>
  <c r="AK11" i="3" s="1"/>
  <c r="BX11" i="3" s="1"/>
  <c r="AI12" i="3"/>
  <c r="AK12" i="3" s="1"/>
  <c r="BX12" i="3" s="1"/>
  <c r="AI13" i="3"/>
  <c r="AK13" i="3" s="1"/>
  <c r="BX13" i="3" s="1"/>
  <c r="AI14" i="3"/>
  <c r="AK14" i="3" s="1"/>
  <c r="BX14" i="3" s="1"/>
  <c r="AI15" i="3"/>
  <c r="AK15" i="3" s="1"/>
  <c r="AI16" i="3"/>
  <c r="AK16" i="3" s="1"/>
  <c r="AI17" i="3"/>
  <c r="AK17" i="3" s="1"/>
  <c r="AI18" i="3"/>
  <c r="AI19" i="3"/>
  <c r="AK19" i="3" s="1"/>
  <c r="AI20" i="3"/>
  <c r="AK20" i="3" s="1"/>
  <c r="AI21" i="3"/>
  <c r="AK21" i="3" s="1"/>
  <c r="AI22" i="3"/>
  <c r="AK22" i="3" s="1"/>
  <c r="AI23" i="3"/>
  <c r="AK23" i="3" s="1"/>
  <c r="AI24" i="3"/>
  <c r="AK24" i="3" s="1"/>
  <c r="BX24" i="3" s="1"/>
  <c r="AI25" i="3"/>
  <c r="AK25" i="3" s="1"/>
  <c r="BX25" i="3" s="1"/>
  <c r="AI26" i="3"/>
  <c r="AK26" i="3" s="1"/>
  <c r="BX26" i="3" s="1"/>
  <c r="AI27" i="3"/>
  <c r="AK27" i="3" s="1"/>
  <c r="AI28" i="3"/>
  <c r="AK28" i="3" s="1"/>
  <c r="AI29" i="3"/>
  <c r="AK29" i="3" s="1"/>
  <c r="BX29" i="3" s="1"/>
  <c r="AI30" i="3"/>
  <c r="AK30" i="3" s="1"/>
  <c r="BX30" i="3" s="1"/>
  <c r="AI31" i="3"/>
  <c r="AK31" i="3" s="1"/>
  <c r="AI32" i="3"/>
  <c r="AK32" i="3" s="1"/>
  <c r="AI33" i="3"/>
  <c r="AI34" i="3"/>
  <c r="AK34" i="3" s="1"/>
  <c r="BX34" i="3" s="1"/>
  <c r="AI35" i="3"/>
  <c r="AK35" i="3" s="1"/>
  <c r="BX35" i="3" s="1"/>
  <c r="AI36" i="3"/>
  <c r="AK36" i="3" s="1"/>
  <c r="BX36" i="3" s="1"/>
  <c r="AI37" i="3"/>
  <c r="AK37" i="3" s="1"/>
  <c r="BX37" i="3" s="1"/>
  <c r="AI38" i="3"/>
  <c r="AK38" i="3" s="1"/>
  <c r="BX38" i="3" s="1"/>
  <c r="AI39" i="3"/>
  <c r="AK39" i="3" s="1"/>
  <c r="BX39" i="3" s="1"/>
  <c r="AI40" i="3"/>
  <c r="AK40" i="3" s="1"/>
  <c r="AI41" i="3"/>
  <c r="AK41" i="3" s="1"/>
  <c r="AI42" i="3"/>
  <c r="AK42" i="3" s="1"/>
  <c r="AI43" i="3"/>
  <c r="AK43" i="3" s="1"/>
  <c r="AI44" i="3"/>
  <c r="AI45" i="3"/>
  <c r="AK45" i="3" s="1"/>
  <c r="AI46" i="3"/>
  <c r="AK46" i="3" s="1"/>
  <c r="BX46" i="3" s="1"/>
  <c r="AI47" i="3"/>
  <c r="AK47" i="3" s="1"/>
  <c r="AI48" i="3"/>
  <c r="AK48" i="3" s="1"/>
  <c r="BX48" i="3" s="1"/>
  <c r="AI49" i="3"/>
  <c r="AK49" i="3" s="1"/>
  <c r="BX49" i="3" s="1"/>
  <c r="AI50" i="3"/>
  <c r="AK50" i="3" s="1"/>
  <c r="BX50" i="3" s="1"/>
  <c r="AI51" i="3"/>
  <c r="AK51" i="3" s="1"/>
  <c r="AI52" i="3"/>
  <c r="AK52" i="3" s="1"/>
  <c r="AI53" i="3"/>
  <c r="AK53" i="3" s="1"/>
  <c r="BX53" i="3" s="1"/>
  <c r="AI54" i="3"/>
  <c r="AK54" i="3" s="1"/>
  <c r="AI55" i="3"/>
  <c r="AK55" i="3" s="1"/>
  <c r="AI56" i="3"/>
  <c r="AK56" i="3" s="1"/>
  <c r="AI57" i="3"/>
  <c r="AK57" i="3" s="1"/>
  <c r="BX57" i="3" s="1"/>
  <c r="AI58" i="3"/>
  <c r="AK58" i="3" s="1"/>
  <c r="BX58" i="3" s="1"/>
  <c r="AI59" i="3"/>
  <c r="AK59" i="3" s="1"/>
  <c r="BX59" i="3" s="1"/>
  <c r="AI60" i="3"/>
  <c r="AK60" i="3" s="1"/>
  <c r="BX60" i="3" s="1"/>
  <c r="AI61" i="3"/>
  <c r="AK61" i="3" s="1"/>
  <c r="BX61" i="3" s="1"/>
  <c r="AI62" i="3"/>
  <c r="AK62" i="3" s="1"/>
  <c r="BX62" i="3" s="1"/>
  <c r="AI63" i="3"/>
  <c r="AI64" i="3"/>
  <c r="AK64" i="3" s="1"/>
  <c r="AI65" i="3"/>
  <c r="AK65" i="3" s="1"/>
  <c r="AI66" i="3"/>
  <c r="AK66" i="3" s="1"/>
  <c r="AI67" i="3"/>
  <c r="AK67" i="3" s="1"/>
  <c r="AI68" i="3"/>
  <c r="AK68" i="3" s="1"/>
  <c r="AI69" i="3"/>
  <c r="AK69" i="3" s="1"/>
  <c r="AI70" i="3"/>
  <c r="AK70" i="3" s="1"/>
  <c r="AI71" i="3"/>
  <c r="AK71" i="3" s="1"/>
  <c r="AI72" i="3"/>
  <c r="AK72" i="3" s="1"/>
  <c r="BX72" i="3" s="1"/>
  <c r="AI73" i="3"/>
  <c r="AK73" i="3" s="1"/>
  <c r="BX73" i="3" s="1"/>
  <c r="AI74" i="3"/>
  <c r="AK74" i="3" s="1"/>
  <c r="BX74" i="3" s="1"/>
  <c r="AI75" i="3"/>
  <c r="AK75" i="3" s="1"/>
  <c r="AI76" i="3"/>
  <c r="AK76" i="3" s="1"/>
  <c r="AI77" i="3"/>
  <c r="AK77" i="3" s="1"/>
  <c r="AI78" i="3"/>
  <c r="AK78" i="3" s="1"/>
  <c r="AI79" i="3"/>
  <c r="AK79" i="3" s="1"/>
  <c r="AI80" i="3"/>
  <c r="AK80" i="3" s="1"/>
  <c r="BX80" i="3" s="1"/>
  <c r="AI81" i="3"/>
  <c r="AK81" i="3" s="1"/>
  <c r="BX81" i="3" s="1"/>
  <c r="AI82" i="3"/>
  <c r="AK82" i="3" s="1"/>
  <c r="BX82" i="3" s="1"/>
  <c r="AI83" i="3"/>
  <c r="AK83" i="3" s="1"/>
  <c r="BX83" i="3" s="1"/>
  <c r="AI84" i="3"/>
  <c r="AK84" i="3" s="1"/>
  <c r="BX84" i="3" s="1"/>
  <c r="AI85" i="3"/>
  <c r="AK85" i="3" s="1"/>
  <c r="BX85" i="3" s="1"/>
  <c r="AI86" i="3"/>
  <c r="AK86" i="3" s="1"/>
  <c r="BX86" i="3" s="1"/>
  <c r="AI87" i="3"/>
  <c r="AK87" i="3" s="1"/>
  <c r="AI88" i="3"/>
  <c r="AK88" i="3" s="1"/>
  <c r="AI89" i="3"/>
  <c r="AK89" i="3" s="1"/>
  <c r="AI90" i="3"/>
  <c r="AK90" i="3" s="1"/>
  <c r="AI91" i="3"/>
  <c r="AK91" i="3" s="1"/>
  <c r="AI92" i="3"/>
  <c r="AK92" i="3" s="1"/>
  <c r="AI93" i="3"/>
  <c r="AK93" i="3" s="1"/>
  <c r="AI94" i="3"/>
  <c r="AK94" i="3" s="1"/>
  <c r="BX94" i="3" s="1"/>
  <c r="AI95" i="3"/>
  <c r="AK95" i="3" s="1"/>
  <c r="AI96" i="3"/>
  <c r="AK96" i="3" s="1"/>
  <c r="AI97" i="3"/>
  <c r="AK97" i="3" s="1"/>
  <c r="BX97" i="3" s="1"/>
  <c r="AI98" i="3"/>
  <c r="AK98" i="3" s="1"/>
  <c r="BX98" i="3" s="1"/>
  <c r="AI99" i="3"/>
  <c r="AK99" i="3" s="1"/>
  <c r="AI100" i="3"/>
  <c r="AK100" i="3" s="1"/>
  <c r="AI101" i="3"/>
  <c r="AK101" i="3" s="1"/>
  <c r="AI2" i="3"/>
  <c r="AH3" i="3"/>
  <c r="AJ3" i="3" s="1"/>
  <c r="AH4" i="3"/>
  <c r="AJ4" i="3" s="1"/>
  <c r="AH5" i="3"/>
  <c r="AJ5" i="3" s="1"/>
  <c r="AH6" i="3"/>
  <c r="AJ6" i="3" s="1"/>
  <c r="AH7" i="3"/>
  <c r="AJ7" i="3" s="1"/>
  <c r="BQ7" i="3" s="1"/>
  <c r="AH8" i="3"/>
  <c r="AJ8" i="3" s="1"/>
  <c r="AH9" i="3"/>
  <c r="AJ9" i="3" s="1"/>
  <c r="BQ9" i="3" s="1"/>
  <c r="AH10" i="3"/>
  <c r="AJ10" i="3" s="1"/>
  <c r="AH11" i="3"/>
  <c r="AJ11" i="3" s="1"/>
  <c r="AH12" i="3"/>
  <c r="AJ12" i="3" s="1"/>
  <c r="AM12" i="3" s="1"/>
  <c r="AH13" i="3"/>
  <c r="AJ13" i="3" s="1"/>
  <c r="BQ13" i="3" s="1"/>
  <c r="AH14" i="3"/>
  <c r="AJ14" i="3" s="1"/>
  <c r="AH15" i="3"/>
  <c r="AJ15" i="3" s="1"/>
  <c r="AH16" i="3"/>
  <c r="AJ16" i="3" s="1"/>
  <c r="AH17" i="3"/>
  <c r="AJ17" i="3" s="1"/>
  <c r="AH18" i="3"/>
  <c r="AJ18" i="3" s="1"/>
  <c r="AH19" i="3"/>
  <c r="AJ19" i="3" s="1"/>
  <c r="AH20" i="3"/>
  <c r="AJ20" i="3" s="1"/>
  <c r="AH21" i="3"/>
  <c r="AJ21" i="3" s="1"/>
  <c r="AH22" i="3"/>
  <c r="AJ22" i="3" s="1"/>
  <c r="AM22" i="3" s="1"/>
  <c r="AH23" i="3"/>
  <c r="AJ23" i="3" s="1"/>
  <c r="AM23" i="3" s="1"/>
  <c r="AH24" i="3"/>
  <c r="AJ24" i="3" s="1"/>
  <c r="AH25" i="3"/>
  <c r="AJ25" i="3" s="1"/>
  <c r="BQ25" i="3" s="1"/>
  <c r="AH26" i="3"/>
  <c r="AJ26" i="3" s="1"/>
  <c r="AM26" i="3" s="1"/>
  <c r="AH27" i="3"/>
  <c r="AJ27" i="3" s="1"/>
  <c r="AH28" i="3"/>
  <c r="AJ28" i="3" s="1"/>
  <c r="AH29" i="3"/>
  <c r="AJ29" i="3" s="1"/>
  <c r="AM29" i="3" s="1"/>
  <c r="AH30" i="3"/>
  <c r="AJ30" i="3" s="1"/>
  <c r="AH31" i="3"/>
  <c r="AJ31" i="3" s="1"/>
  <c r="AH32" i="3"/>
  <c r="AJ32" i="3" s="1"/>
  <c r="AH33" i="3"/>
  <c r="AJ33" i="3" s="1"/>
  <c r="AH34" i="3"/>
  <c r="AJ34" i="3" s="1"/>
  <c r="AH35" i="3"/>
  <c r="AJ35" i="3" s="1"/>
  <c r="AM35" i="3" s="1"/>
  <c r="AH36" i="3"/>
  <c r="AJ36" i="3" s="1"/>
  <c r="BQ36" i="3" s="1"/>
  <c r="AH37" i="3"/>
  <c r="AJ37" i="3" s="1"/>
  <c r="BQ37" i="3" s="1"/>
  <c r="AH38" i="3"/>
  <c r="AJ38" i="3" s="1"/>
  <c r="AH39" i="3"/>
  <c r="AJ39" i="3" s="1"/>
  <c r="AH40" i="3"/>
  <c r="AJ40" i="3" s="1"/>
  <c r="AH41" i="3"/>
  <c r="AJ41" i="3" s="1"/>
  <c r="AH42" i="3"/>
  <c r="AJ42" i="3" s="1"/>
  <c r="AH43" i="3"/>
  <c r="AJ43" i="3" s="1"/>
  <c r="AH44" i="3"/>
  <c r="AJ44" i="3" s="1"/>
  <c r="AH45" i="3"/>
  <c r="AJ45" i="3" s="1"/>
  <c r="AH46" i="3"/>
  <c r="AJ46" i="3" s="1"/>
  <c r="AM46" i="3" s="1"/>
  <c r="AH47" i="3"/>
  <c r="AJ47" i="3" s="1"/>
  <c r="AM47" i="3" s="1"/>
  <c r="AH48" i="3"/>
  <c r="AJ48" i="3" s="1"/>
  <c r="AM48" i="3" s="1"/>
  <c r="AH49" i="3"/>
  <c r="AJ49" i="3" s="1"/>
  <c r="BQ49" i="3" s="1"/>
  <c r="AH50" i="3"/>
  <c r="AJ50" i="3" s="1"/>
  <c r="AM50" i="3" s="1"/>
  <c r="AH51" i="3"/>
  <c r="AJ51" i="3" s="1"/>
  <c r="AH52" i="3"/>
  <c r="AJ52" i="3" s="1"/>
  <c r="AH53" i="3"/>
  <c r="AJ53" i="3" s="1"/>
  <c r="AH54" i="3"/>
  <c r="AJ54" i="3" s="1"/>
  <c r="AH55" i="3"/>
  <c r="AJ55" i="3" s="1"/>
  <c r="AH56" i="3"/>
  <c r="AJ56" i="3" s="1"/>
  <c r="AH57" i="3"/>
  <c r="AJ57" i="3" s="1"/>
  <c r="AH58" i="3"/>
  <c r="AJ58" i="3" s="1"/>
  <c r="AH59" i="3"/>
  <c r="AJ59" i="3" s="1"/>
  <c r="AM59" i="3" s="1"/>
  <c r="AH60" i="3"/>
  <c r="AJ60" i="3" s="1"/>
  <c r="BQ60" i="3" s="1"/>
  <c r="AH61" i="3"/>
  <c r="AJ61" i="3" s="1"/>
  <c r="BQ61" i="3" s="1"/>
  <c r="AH62" i="3"/>
  <c r="AJ62" i="3" s="1"/>
  <c r="AH63" i="3"/>
  <c r="AJ63" i="3" s="1"/>
  <c r="AH64" i="3"/>
  <c r="AJ64" i="3" s="1"/>
  <c r="AH65" i="3"/>
  <c r="AJ65" i="3" s="1"/>
  <c r="BQ65" i="3" s="1"/>
  <c r="AH66" i="3"/>
  <c r="AJ66" i="3" s="1"/>
  <c r="AH67" i="3"/>
  <c r="AJ67" i="3" s="1"/>
  <c r="AH68" i="3"/>
  <c r="AJ68" i="3" s="1"/>
  <c r="AH69" i="3"/>
  <c r="AJ69" i="3" s="1"/>
  <c r="AH70" i="3"/>
  <c r="AJ70" i="3" s="1"/>
  <c r="AM70" i="3" s="1"/>
  <c r="AH71" i="3"/>
  <c r="AJ71" i="3" s="1"/>
  <c r="AM71" i="3" s="1"/>
  <c r="AH72" i="3"/>
  <c r="AJ72" i="3" s="1"/>
  <c r="AH73" i="3"/>
  <c r="AJ73" i="3" s="1"/>
  <c r="AH74" i="3"/>
  <c r="AJ74" i="3" s="1"/>
  <c r="AH75" i="3"/>
  <c r="AJ75" i="3" s="1"/>
  <c r="AH76" i="3"/>
  <c r="AJ76" i="3" s="1"/>
  <c r="AH77" i="3"/>
  <c r="AJ77" i="3" s="1"/>
  <c r="AH78" i="3"/>
  <c r="AJ78" i="3" s="1"/>
  <c r="AH79" i="3"/>
  <c r="AJ79" i="3" s="1"/>
  <c r="AH80" i="3"/>
  <c r="AJ80" i="3" s="1"/>
  <c r="AH81" i="3"/>
  <c r="AJ81" i="3" s="1"/>
  <c r="AH82" i="3"/>
  <c r="AJ82" i="3" s="1"/>
  <c r="AH83" i="3"/>
  <c r="AJ83" i="3" s="1"/>
  <c r="AM83" i="3" s="1"/>
  <c r="AH84" i="3"/>
  <c r="AJ84" i="3" s="1"/>
  <c r="AH85" i="3"/>
  <c r="AJ85" i="3" s="1"/>
  <c r="AH86" i="3"/>
  <c r="AJ86" i="3" s="1"/>
  <c r="AH87" i="3"/>
  <c r="AJ87" i="3" s="1"/>
  <c r="AH88" i="3"/>
  <c r="AJ88" i="3" s="1"/>
  <c r="AH89" i="3"/>
  <c r="AJ89" i="3" s="1"/>
  <c r="AH90" i="3"/>
  <c r="AJ90" i="3" s="1"/>
  <c r="AH91" i="3"/>
  <c r="AJ91" i="3" s="1"/>
  <c r="AH92" i="3"/>
  <c r="AJ92" i="3" s="1"/>
  <c r="AH93" i="3"/>
  <c r="AJ93" i="3" s="1"/>
  <c r="AH94" i="3"/>
  <c r="AJ94" i="3" s="1"/>
  <c r="AH95" i="3"/>
  <c r="AJ95" i="3" s="1"/>
  <c r="AM95" i="3" s="1"/>
  <c r="AH96" i="3"/>
  <c r="AJ96" i="3" s="1"/>
  <c r="AH97" i="3"/>
  <c r="AJ97" i="3" s="1"/>
  <c r="BQ97" i="3" s="1"/>
  <c r="AH98" i="3"/>
  <c r="AJ98" i="3" s="1"/>
  <c r="AH99" i="3"/>
  <c r="AJ99" i="3" s="1"/>
  <c r="AH100" i="3"/>
  <c r="AJ100" i="3" s="1"/>
  <c r="AH101" i="3"/>
  <c r="AJ101" i="3" s="1"/>
  <c r="AH2" i="3"/>
  <c r="AJ2" i="3" s="1"/>
  <c r="L11" i="1"/>
  <c r="J11" i="1"/>
  <c r="D11" i="1"/>
  <c r="H11" i="1"/>
  <c r="F10" i="1"/>
  <c r="F11" i="1" s="1"/>
  <c r="F12" i="1" s="1"/>
  <c r="D10" i="1"/>
  <c r="B10" i="1"/>
  <c r="B11" i="1" s="1"/>
  <c r="B12" i="1" s="1"/>
  <c r="L3" i="2" l="1"/>
  <c r="I7" i="2"/>
  <c r="J19" i="2"/>
  <c r="L16" i="2"/>
  <c r="H12" i="2"/>
  <c r="L12" i="2" s="1"/>
  <c r="W11" i="2"/>
  <c r="W10" i="2"/>
  <c r="W5" i="2" s="1"/>
  <c r="W27" i="2" s="1"/>
  <c r="K5" i="2"/>
  <c r="B11" i="2"/>
  <c r="B9" i="2"/>
  <c r="F9" i="2" s="1"/>
  <c r="H7" i="2"/>
  <c r="H27" i="2" s="1"/>
  <c r="BN95" i="3"/>
  <c r="BW95" i="3" s="1"/>
  <c r="BM83" i="3"/>
  <c r="BM47" i="3"/>
  <c r="BM11" i="3"/>
  <c r="BN6" i="3"/>
  <c r="BW6" i="3" s="1"/>
  <c r="BM94" i="3"/>
  <c r="BM82" i="3"/>
  <c r="BM70" i="3"/>
  <c r="BM58" i="3"/>
  <c r="BM46" i="3"/>
  <c r="BM34" i="3"/>
  <c r="BM22" i="3"/>
  <c r="BM10" i="3"/>
  <c r="AV94" i="3"/>
  <c r="AV82" i="3"/>
  <c r="AV46" i="3"/>
  <c r="AV22" i="3"/>
  <c r="AV10" i="3"/>
  <c r="BM79" i="3"/>
  <c r="AX70" i="3"/>
  <c r="AX46" i="3"/>
  <c r="AX76" i="3"/>
  <c r="AX40" i="3"/>
  <c r="AX4" i="3"/>
  <c r="BC41" i="3"/>
  <c r="BC100" i="3"/>
  <c r="BE88" i="3"/>
  <c r="BP88" i="3" s="1"/>
  <c r="BD76" i="3"/>
  <c r="BD52" i="3"/>
  <c r="AW86" i="3"/>
  <c r="AV58" i="3"/>
  <c r="AX82" i="3"/>
  <c r="BC17" i="3"/>
  <c r="AX3" i="3"/>
  <c r="AV90" i="3"/>
  <c r="AX98" i="3"/>
  <c r="AX26" i="3"/>
  <c r="AV91" i="3"/>
  <c r="AW34" i="3"/>
  <c r="AX39" i="3"/>
  <c r="AM90" i="3"/>
  <c r="AM66" i="3"/>
  <c r="AM30" i="3"/>
  <c r="AN30" i="3" s="1"/>
  <c r="AM85" i="3"/>
  <c r="AN85" i="3" s="1"/>
  <c r="AM49" i="3"/>
  <c r="AN49" i="3" s="1"/>
  <c r="AX49" i="3"/>
  <c r="BN42" i="3"/>
  <c r="BW42" i="3" s="1"/>
  <c r="BN11" i="3"/>
  <c r="BW11" i="3" s="1"/>
  <c r="AV70" i="3"/>
  <c r="AX2" i="3"/>
  <c r="BB89" i="3"/>
  <c r="AW46" i="3"/>
  <c r="AM89" i="3"/>
  <c r="BN10" i="3"/>
  <c r="BW10" i="3" s="1"/>
  <c r="AV34" i="3"/>
  <c r="AM58" i="3"/>
  <c r="AN58" i="3" s="1"/>
  <c r="BC101" i="3"/>
  <c r="AX75" i="3"/>
  <c r="AM77" i="3"/>
  <c r="AN77" i="3" s="1"/>
  <c r="AM41" i="3"/>
  <c r="AN41" i="3" s="1"/>
  <c r="BN88" i="3"/>
  <c r="BW88" i="3" s="1"/>
  <c r="BM76" i="3"/>
  <c r="BN52" i="3"/>
  <c r="BW52" i="3" s="1"/>
  <c r="BM40" i="3"/>
  <c r="BN16" i="3"/>
  <c r="BW16" i="3" s="1"/>
  <c r="BM4" i="3"/>
  <c r="BM92" i="3"/>
  <c r="BN68" i="3"/>
  <c r="BW68" i="3" s="1"/>
  <c r="BM56" i="3"/>
  <c r="BN32" i="3"/>
  <c r="BW32" i="3" s="1"/>
  <c r="BM20" i="3"/>
  <c r="AN48" i="3"/>
  <c r="AX81" i="3"/>
  <c r="AX57" i="3"/>
  <c r="AX33" i="3"/>
  <c r="AX9" i="3"/>
  <c r="BN46" i="3"/>
  <c r="BW46" i="3" s="1"/>
  <c r="AM84" i="3"/>
  <c r="AN84" i="3" s="1"/>
  <c r="AM45" i="3"/>
  <c r="AN45" i="3" s="1"/>
  <c r="AV92" i="3"/>
  <c r="AV20" i="3"/>
  <c r="AW84" i="3"/>
  <c r="AW12" i="3"/>
  <c r="AX74" i="3"/>
  <c r="AV96" i="3"/>
  <c r="AV84" i="3"/>
  <c r="AV72" i="3"/>
  <c r="AV60" i="3"/>
  <c r="AV48" i="3"/>
  <c r="AV36" i="3"/>
  <c r="AV24" i="3"/>
  <c r="AV12" i="3"/>
  <c r="AW3" i="3"/>
  <c r="AX92" i="3"/>
  <c r="AX80" i="3"/>
  <c r="AX68" i="3"/>
  <c r="AX56" i="3"/>
  <c r="AX44" i="3"/>
  <c r="AX32" i="3"/>
  <c r="AX20" i="3"/>
  <c r="AX8" i="3"/>
  <c r="BB46" i="3"/>
  <c r="BD97" i="3"/>
  <c r="BD85" i="3"/>
  <c r="BB73" i="3"/>
  <c r="BC61" i="3"/>
  <c r="BE49" i="3"/>
  <c r="BP49" i="3" s="1"/>
  <c r="BD37" i="3"/>
  <c r="BE25" i="3"/>
  <c r="BP25" i="3" s="1"/>
  <c r="BD13" i="3"/>
  <c r="BE16" i="3"/>
  <c r="BP16" i="3" s="1"/>
  <c r="BD4" i="3"/>
  <c r="BM95" i="3"/>
  <c r="AX93" i="3"/>
  <c r="AX69" i="3"/>
  <c r="AX45" i="3"/>
  <c r="AX21" i="3"/>
  <c r="AM57" i="3"/>
  <c r="AN57" i="3" s="1"/>
  <c r="AM21" i="3"/>
  <c r="AN21" i="3" s="1"/>
  <c r="AM81" i="3"/>
  <c r="AN81" i="3" s="1"/>
  <c r="AN26" i="3"/>
  <c r="AW83" i="3"/>
  <c r="AW11" i="3"/>
  <c r="AV83" i="3"/>
  <c r="AV71" i="3"/>
  <c r="AV59" i="3"/>
  <c r="AV47" i="3"/>
  <c r="AV35" i="3"/>
  <c r="AV23" i="3"/>
  <c r="AV11" i="3"/>
  <c r="AW98" i="3"/>
  <c r="AW74" i="3"/>
  <c r="AW62" i="3"/>
  <c r="AW50" i="3"/>
  <c r="AW38" i="3"/>
  <c r="AW26" i="3"/>
  <c r="AW14" i="3"/>
  <c r="BD93" i="3"/>
  <c r="BE21" i="3"/>
  <c r="BP21" i="3" s="1"/>
  <c r="BM77" i="3"/>
  <c r="BM41" i="3"/>
  <c r="BM5" i="3"/>
  <c r="BR7" i="3"/>
  <c r="AX87" i="3"/>
  <c r="AX63" i="3"/>
  <c r="AX51" i="3"/>
  <c r="AX27" i="3"/>
  <c r="BD92" i="3"/>
  <c r="BE20" i="3"/>
  <c r="BP20" i="3" s="1"/>
  <c r="AV42" i="3"/>
  <c r="BD91" i="3"/>
  <c r="BD79" i="3"/>
  <c r="BB67" i="3"/>
  <c r="BB55" i="3"/>
  <c r="BD43" i="3"/>
  <c r="BE31" i="3"/>
  <c r="BP31" i="3" s="1"/>
  <c r="BC19" i="3"/>
  <c r="BE7" i="3"/>
  <c r="BP7" i="3" s="1"/>
  <c r="BN94" i="3"/>
  <c r="BW94" i="3" s="1"/>
  <c r="AM63" i="3"/>
  <c r="AN63" i="3" s="1"/>
  <c r="AM9" i="3"/>
  <c r="AN9" i="3" s="1"/>
  <c r="BD51" i="3"/>
  <c r="BC15" i="3"/>
  <c r="BE3" i="3"/>
  <c r="BP3" i="3" s="1"/>
  <c r="BD31" i="3"/>
  <c r="BN83" i="3"/>
  <c r="BW83" i="3" s="1"/>
  <c r="BQ63" i="3"/>
  <c r="BD32" i="3"/>
  <c r="BB31" i="3"/>
  <c r="AW91" i="3"/>
  <c r="AW43" i="3"/>
  <c r="BC74" i="3"/>
  <c r="BC38" i="3"/>
  <c r="BQ50" i="3"/>
  <c r="BR50" i="3" s="1"/>
  <c r="AX99" i="3"/>
  <c r="AX15" i="3"/>
  <c r="BR49" i="3"/>
  <c r="BR25" i="3"/>
  <c r="AM93" i="3"/>
  <c r="AN93" i="3" s="1"/>
  <c r="AV87" i="3"/>
  <c r="AV75" i="3"/>
  <c r="AW90" i="3"/>
  <c r="AW78" i="3"/>
  <c r="AW42" i="3"/>
  <c r="BB13" i="3"/>
  <c r="BN90" i="3"/>
  <c r="BW90" i="3" s="1"/>
  <c r="BI78" i="3"/>
  <c r="BK78" i="3" s="1"/>
  <c r="BI42" i="3"/>
  <c r="BK42" i="3" s="1"/>
  <c r="BI6" i="3"/>
  <c r="BK6" i="3" s="1"/>
  <c r="BL6" i="3" s="1"/>
  <c r="BO6" i="3" s="1"/>
  <c r="BN33" i="3"/>
  <c r="BW33" i="3" s="1"/>
  <c r="BQ26" i="3"/>
  <c r="AN24" i="3"/>
  <c r="BN47" i="3"/>
  <c r="BW47" i="3" s="1"/>
  <c r="BX51" i="3"/>
  <c r="BX95" i="3"/>
  <c r="BY95" i="3" s="1"/>
  <c r="BX71" i="3"/>
  <c r="BX23" i="3"/>
  <c r="BX27" i="3"/>
  <c r="BQ82" i="3"/>
  <c r="AM82" i="3"/>
  <c r="AN82" i="3" s="1"/>
  <c r="BX70" i="3"/>
  <c r="BX93" i="3"/>
  <c r="BX69" i="3"/>
  <c r="BY69" i="3"/>
  <c r="BX45" i="3"/>
  <c r="BJ21" i="3"/>
  <c r="BV21" i="3" s="1"/>
  <c r="BX21" i="3"/>
  <c r="BQ92" i="3"/>
  <c r="AM92" i="3"/>
  <c r="AN92" i="3"/>
  <c r="BX92" i="3"/>
  <c r="BX68" i="3"/>
  <c r="BY68" i="3" s="1"/>
  <c r="BX20" i="3"/>
  <c r="BX96" i="3"/>
  <c r="BX22" i="3"/>
  <c r="BX56" i="3"/>
  <c r="BX8" i="3"/>
  <c r="BX91" i="3"/>
  <c r="BX79" i="3"/>
  <c r="BX55" i="3"/>
  <c r="BY55" i="3" s="1"/>
  <c r="BZ55" i="3" s="1"/>
  <c r="CA55" i="3" s="1"/>
  <c r="BX7" i="3"/>
  <c r="BR63" i="3"/>
  <c r="BX78" i="3"/>
  <c r="BX65" i="3"/>
  <c r="BX41" i="3"/>
  <c r="BX17" i="3"/>
  <c r="BX6" i="3"/>
  <c r="BY6" i="3" s="1"/>
  <c r="BX100" i="3"/>
  <c r="BX88" i="3"/>
  <c r="BY88" i="3"/>
  <c r="BX64" i="3"/>
  <c r="BX52" i="3"/>
  <c r="BY52" i="3"/>
  <c r="BX40" i="3"/>
  <c r="BX28" i="3"/>
  <c r="BQ56" i="3"/>
  <c r="AM56" i="3"/>
  <c r="BX77" i="3"/>
  <c r="BX18" i="3"/>
  <c r="AN90" i="3"/>
  <c r="BQ90" i="3"/>
  <c r="AN78" i="3"/>
  <c r="BQ78" i="3"/>
  <c r="BQ66" i="3"/>
  <c r="AN66" i="3"/>
  <c r="BQ42" i="3"/>
  <c r="BQ30" i="3"/>
  <c r="BQ6" i="3"/>
  <c r="BX75" i="3"/>
  <c r="BX31" i="3"/>
  <c r="BY31" i="3"/>
  <c r="AM25" i="3"/>
  <c r="AN25" i="3" s="1"/>
  <c r="AM6" i="3"/>
  <c r="AN6" i="3" s="1"/>
  <c r="AX91" i="3"/>
  <c r="AX79" i="3"/>
  <c r="AX67" i="3"/>
  <c r="AX55" i="3"/>
  <c r="AX43" i="3"/>
  <c r="AX31" i="3"/>
  <c r="AX19" i="3"/>
  <c r="AX7" i="3"/>
  <c r="BB88" i="3"/>
  <c r="BQ54" i="3"/>
  <c r="BY30" i="3"/>
  <c r="BQ8" i="3"/>
  <c r="AM8" i="3"/>
  <c r="AN8" i="3" s="1"/>
  <c r="BQ31" i="3"/>
  <c r="AM31" i="3"/>
  <c r="AN31" i="3" s="1"/>
  <c r="BX101" i="3"/>
  <c r="BX99" i="3"/>
  <c r="BX16" i="3"/>
  <c r="BY16" i="3" s="1"/>
  <c r="BQ40" i="3"/>
  <c r="AM40" i="3"/>
  <c r="AN40" i="3" s="1"/>
  <c r="BX43" i="3"/>
  <c r="BY43" i="3" s="1"/>
  <c r="BD53" i="3"/>
  <c r="BB53" i="3"/>
  <c r="BQ15" i="3"/>
  <c r="AM15" i="3"/>
  <c r="AN15" i="3" s="1"/>
  <c r="AM61" i="3"/>
  <c r="AN61" i="3" s="1"/>
  <c r="AM42" i="3"/>
  <c r="AN42" i="3" s="1"/>
  <c r="AV56" i="3"/>
  <c r="AW47" i="3"/>
  <c r="BM100" i="3"/>
  <c r="BM88" i="3"/>
  <c r="BN76" i="3"/>
  <c r="BW76" i="3" s="1"/>
  <c r="BM64" i="3"/>
  <c r="BM52" i="3"/>
  <c r="BN40" i="3"/>
  <c r="BW40" i="3" s="1"/>
  <c r="BM28" i="3"/>
  <c r="BM16" i="3"/>
  <c r="BN4" i="3"/>
  <c r="BW4" i="3" s="1"/>
  <c r="BQ18" i="3"/>
  <c r="BQ32" i="3"/>
  <c r="AM32" i="3"/>
  <c r="AN32" i="3" s="1"/>
  <c r="BX63" i="3"/>
  <c r="BY63" i="3" s="1"/>
  <c r="BX47" i="3"/>
  <c r="BY47" i="3" s="1"/>
  <c r="BX5" i="3"/>
  <c r="BQ67" i="3"/>
  <c r="AM67" i="3"/>
  <c r="AN67" i="3" s="1"/>
  <c r="BQ19" i="3"/>
  <c r="AM19" i="3"/>
  <c r="AN19" i="3" s="1"/>
  <c r="BX89" i="3"/>
  <c r="BX32" i="3"/>
  <c r="BX4" i="3"/>
  <c r="BY4" i="3"/>
  <c r="BQ17" i="3"/>
  <c r="BQ88" i="3"/>
  <c r="BR88" i="3" s="1"/>
  <c r="AM88" i="3"/>
  <c r="BQ4" i="3"/>
  <c r="AM4" i="3"/>
  <c r="AN4" i="3" s="1"/>
  <c r="AM65" i="3"/>
  <c r="AN65" i="3" s="1"/>
  <c r="AW48" i="3"/>
  <c r="AM99" i="3"/>
  <c r="AN99" i="3" s="1"/>
  <c r="BQ87" i="3"/>
  <c r="BR87" i="3" s="1"/>
  <c r="AM87" i="3"/>
  <c r="AN87" i="3" s="1"/>
  <c r="BQ75" i="3"/>
  <c r="AM75" i="3"/>
  <c r="AN75" i="3" s="1"/>
  <c r="BQ51" i="3"/>
  <c r="AM51" i="3"/>
  <c r="AN51" i="3" s="1"/>
  <c r="BQ39" i="3"/>
  <c r="AM39" i="3"/>
  <c r="AN39" i="3" s="1"/>
  <c r="BQ27" i="3"/>
  <c r="AM27" i="3"/>
  <c r="BQ3" i="3"/>
  <c r="BR3" i="3" s="1"/>
  <c r="AM3" i="3"/>
  <c r="AN3" i="3" s="1"/>
  <c r="AM98" i="3"/>
  <c r="AN98" i="3" s="1"/>
  <c r="AM86" i="3"/>
  <c r="AN86" i="3" s="1"/>
  <c r="BQ86" i="3"/>
  <c r="BR86" i="3" s="1"/>
  <c r="BS86" i="3" s="1"/>
  <c r="BT86" i="3" s="1"/>
  <c r="BU86" i="3" s="1"/>
  <c r="AM74" i="3"/>
  <c r="AN74" i="3" s="1"/>
  <c r="BQ74" i="3"/>
  <c r="AM62" i="3"/>
  <c r="AN62" i="3" s="1"/>
  <c r="BQ62" i="3"/>
  <c r="AM38" i="3"/>
  <c r="AN38" i="3" s="1"/>
  <c r="BQ38" i="3"/>
  <c r="AM14" i="3"/>
  <c r="AN14" i="3" s="1"/>
  <c r="BQ14" i="3"/>
  <c r="AM2" i="3"/>
  <c r="AN2" i="3" s="1"/>
  <c r="AM60" i="3"/>
  <c r="AN60" i="3" s="1"/>
  <c r="AV79" i="3"/>
  <c r="AV67" i="3"/>
  <c r="AV55" i="3"/>
  <c r="AV43" i="3"/>
  <c r="AV31" i="3"/>
  <c r="AV19" i="3"/>
  <c r="AV7" i="3"/>
  <c r="AW94" i="3"/>
  <c r="AW82" i="3"/>
  <c r="AW70" i="3"/>
  <c r="AW58" i="3"/>
  <c r="AW22" i="3"/>
  <c r="AW10" i="3"/>
  <c r="BN99" i="3"/>
  <c r="BW99" i="3" s="1"/>
  <c r="BN75" i="3"/>
  <c r="BW75" i="3" s="1"/>
  <c r="BN63" i="3"/>
  <c r="BW63" i="3" s="1"/>
  <c r="BN39" i="3"/>
  <c r="BN27" i="3"/>
  <c r="BW27" i="3" s="1"/>
  <c r="BN3" i="3"/>
  <c r="BW3" i="3" s="1"/>
  <c r="BM31" i="3"/>
  <c r="BQ12" i="3"/>
  <c r="BQ80" i="3"/>
  <c r="AM80" i="3"/>
  <c r="AN80" i="3" s="1"/>
  <c r="BQ101" i="3"/>
  <c r="AN29" i="3"/>
  <c r="BQ29" i="3"/>
  <c r="BX44" i="3"/>
  <c r="BQ100" i="3"/>
  <c r="AM100" i="3"/>
  <c r="AN100" i="3" s="1"/>
  <c r="BQ85" i="3"/>
  <c r="BQ73" i="3"/>
  <c r="AM101" i="3"/>
  <c r="AN101" i="3" s="1"/>
  <c r="AM37" i="3"/>
  <c r="AN37" i="3" s="1"/>
  <c r="AM18" i="3"/>
  <c r="AN18" i="3" s="1"/>
  <c r="AN56" i="3"/>
  <c r="AV2" i="3"/>
  <c r="AV78" i="3"/>
  <c r="AV66" i="3"/>
  <c r="AV54" i="3"/>
  <c r="AV30" i="3"/>
  <c r="AV18" i="3"/>
  <c r="AV6" i="3"/>
  <c r="AW93" i="3"/>
  <c r="AW81" i="3"/>
  <c r="AW69" i="3"/>
  <c r="AW57" i="3"/>
  <c r="AW45" i="3"/>
  <c r="AW33" i="3"/>
  <c r="AW21" i="3"/>
  <c r="AW9" i="3"/>
  <c r="AX86" i="3"/>
  <c r="AX62" i="3"/>
  <c r="AX50" i="3"/>
  <c r="AX38" i="3"/>
  <c r="AX14" i="3"/>
  <c r="BQ44" i="3"/>
  <c r="AM44" i="3"/>
  <c r="AN44" i="3" s="1"/>
  <c r="BQ55" i="3"/>
  <c r="AM55" i="3"/>
  <c r="AN55" i="3" s="1"/>
  <c r="BQ89" i="3"/>
  <c r="AN89" i="3"/>
  <c r="BQ5" i="3"/>
  <c r="BQ64" i="3"/>
  <c r="AM64" i="3"/>
  <c r="AN64" i="3" s="1"/>
  <c r="BX15" i="3"/>
  <c r="AM17" i="3"/>
  <c r="AN17" i="3" s="1"/>
  <c r="BN61" i="3"/>
  <c r="BW61" i="3" s="1"/>
  <c r="BI61" i="3"/>
  <c r="BJ61" i="3" s="1"/>
  <c r="BV61" i="3" s="1"/>
  <c r="BM61" i="3"/>
  <c r="BQ91" i="3"/>
  <c r="AM91" i="3"/>
  <c r="AN91" i="3" s="1"/>
  <c r="BQ41" i="3"/>
  <c r="AM5" i="3"/>
  <c r="AN5" i="3" s="1"/>
  <c r="BQ28" i="3"/>
  <c r="AM28" i="3"/>
  <c r="AN28" i="3" s="1"/>
  <c r="BQ72" i="3"/>
  <c r="BQ24" i="3"/>
  <c r="BI37" i="3"/>
  <c r="BN37" i="3"/>
  <c r="BW37" i="3" s="1"/>
  <c r="BM37" i="3"/>
  <c r="BQ83" i="3"/>
  <c r="AN83" i="3"/>
  <c r="BQ23" i="3"/>
  <c r="AN23" i="3"/>
  <c r="BX3" i="3"/>
  <c r="BY66" i="3"/>
  <c r="BX66" i="3"/>
  <c r="AM96" i="3"/>
  <c r="AN96" i="3" s="1"/>
  <c r="AM13" i="3"/>
  <c r="AN13" i="3" s="1"/>
  <c r="AN12" i="3"/>
  <c r="AV100" i="3"/>
  <c r="AV88" i="3"/>
  <c r="AV76" i="3"/>
  <c r="AV16" i="3"/>
  <c r="BN96" i="3"/>
  <c r="BW96" i="3" s="1"/>
  <c r="BM96" i="3"/>
  <c r="BN84" i="3"/>
  <c r="BW84" i="3" s="1"/>
  <c r="BM84" i="3"/>
  <c r="BN72" i="3"/>
  <c r="BW72" i="3" s="1"/>
  <c r="BM72" i="3"/>
  <c r="BN60" i="3"/>
  <c r="BW60" i="3" s="1"/>
  <c r="BM60" i="3"/>
  <c r="BN48" i="3"/>
  <c r="BW48" i="3" s="1"/>
  <c r="BM48" i="3"/>
  <c r="BN36" i="3"/>
  <c r="BW36" i="3" s="1"/>
  <c r="BM36" i="3"/>
  <c r="BN24" i="3"/>
  <c r="BW24" i="3" s="1"/>
  <c r="BM24" i="3"/>
  <c r="BN12" i="3"/>
  <c r="BW12" i="3" s="1"/>
  <c r="BM12" i="3"/>
  <c r="BN51" i="3"/>
  <c r="BW51" i="3" s="1"/>
  <c r="BM51" i="3"/>
  <c r="BN15" i="3"/>
  <c r="BW15" i="3" s="1"/>
  <c r="BM15" i="3"/>
  <c r="BN67" i="3"/>
  <c r="BW67" i="3" s="1"/>
  <c r="BM67" i="3"/>
  <c r="BX54" i="3"/>
  <c r="BY54" i="3" s="1"/>
  <c r="BQ68" i="3"/>
  <c r="AM68" i="3"/>
  <c r="AN68" i="3" s="1"/>
  <c r="BX90" i="3"/>
  <c r="AM7" i="3"/>
  <c r="AN7" i="3" s="1"/>
  <c r="BX76" i="3"/>
  <c r="BQ53" i="3"/>
  <c r="BX87" i="3"/>
  <c r="BY87" i="3" s="1"/>
  <c r="BQ84" i="3"/>
  <c r="BQ48" i="3"/>
  <c r="BR48" i="3" s="1"/>
  <c r="BX67" i="3"/>
  <c r="AM78" i="3"/>
  <c r="AW80" i="3"/>
  <c r="AX73" i="3"/>
  <c r="BQ47" i="3"/>
  <c r="AN47" i="3"/>
  <c r="BQ94" i="3"/>
  <c r="BQ70" i="3"/>
  <c r="AN70" i="3"/>
  <c r="BQ58" i="3"/>
  <c r="BQ46" i="3"/>
  <c r="AN46" i="3"/>
  <c r="BQ34" i="3"/>
  <c r="BQ22" i="3"/>
  <c r="AN22" i="3"/>
  <c r="BQ10" i="3"/>
  <c r="AN10" i="3"/>
  <c r="AM73" i="3"/>
  <c r="AN73" i="3" s="1"/>
  <c r="AM54" i="3"/>
  <c r="AN54" i="3" s="1"/>
  <c r="AM34" i="3"/>
  <c r="AN34" i="3" s="1"/>
  <c r="AN50" i="3"/>
  <c r="AX95" i="3"/>
  <c r="AX71" i="3"/>
  <c r="AX59" i="3"/>
  <c r="BC83" i="3"/>
  <c r="BD71" i="3"/>
  <c r="BB71" i="3"/>
  <c r="BD59" i="3"/>
  <c r="BC32" i="3"/>
  <c r="BQ99" i="3"/>
  <c r="BQ20" i="3"/>
  <c r="BR20" i="3" s="1"/>
  <c r="AM20" i="3"/>
  <c r="AN20" i="3" s="1"/>
  <c r="BQ52" i="3"/>
  <c r="AM52" i="3"/>
  <c r="AN52" i="3" s="1"/>
  <c r="BX19" i="3"/>
  <c r="BQ79" i="3"/>
  <c r="BR79" i="3" s="1"/>
  <c r="AM79" i="3"/>
  <c r="AN79" i="3" s="1"/>
  <c r="BQ43" i="3"/>
  <c r="BR43" i="3" s="1"/>
  <c r="AM43" i="3"/>
  <c r="AN43" i="3" s="1"/>
  <c r="BQ77" i="3"/>
  <c r="BQ76" i="3"/>
  <c r="AM76" i="3"/>
  <c r="AN76" i="3" s="1"/>
  <c r="BQ16" i="3"/>
  <c r="AM16" i="3"/>
  <c r="AN16" i="3" s="1"/>
  <c r="BQ96" i="3"/>
  <c r="BR12" i="3"/>
  <c r="AM97" i="3"/>
  <c r="AN97" i="3" s="1"/>
  <c r="AM36" i="3"/>
  <c r="AN36" i="3" s="1"/>
  <c r="AW68" i="3"/>
  <c r="AX85" i="3"/>
  <c r="AX61" i="3"/>
  <c r="AX37" i="3"/>
  <c r="BI97" i="3"/>
  <c r="BJ97" i="3" s="1"/>
  <c r="BV97" i="3" s="1"/>
  <c r="BN97" i="3"/>
  <c r="BW97" i="3" s="1"/>
  <c r="BM97" i="3"/>
  <c r="BI85" i="3"/>
  <c r="BK85" i="3" s="1"/>
  <c r="BN85" i="3"/>
  <c r="BW85" i="3" s="1"/>
  <c r="BM85" i="3"/>
  <c r="BI73" i="3"/>
  <c r="BK73" i="3" s="1"/>
  <c r="BN73" i="3"/>
  <c r="BW73" i="3" s="1"/>
  <c r="BM73" i="3"/>
  <c r="BI49" i="3"/>
  <c r="BN49" i="3"/>
  <c r="BW49" i="3" s="1"/>
  <c r="BM49" i="3"/>
  <c r="BN25" i="3"/>
  <c r="BW25" i="3" s="1"/>
  <c r="BI25" i="3"/>
  <c r="BJ25" i="3" s="1"/>
  <c r="BV25" i="3" s="1"/>
  <c r="BM25" i="3"/>
  <c r="BI13" i="3"/>
  <c r="BJ13" i="3" s="1"/>
  <c r="BV13" i="3" s="1"/>
  <c r="BN13" i="3"/>
  <c r="BW13" i="3" s="1"/>
  <c r="BM13" i="3"/>
  <c r="BQ95" i="3"/>
  <c r="BR95" i="3" s="1"/>
  <c r="AN95" i="3"/>
  <c r="BQ71" i="3"/>
  <c r="AN71" i="3"/>
  <c r="BQ59" i="3"/>
  <c r="AN59" i="3"/>
  <c r="BQ35" i="3"/>
  <c r="AN35" i="3"/>
  <c r="BQ11" i="3"/>
  <c r="BQ93" i="3"/>
  <c r="BQ81" i="3"/>
  <c r="BQ69" i="3"/>
  <c r="BR69" i="3" s="1"/>
  <c r="BS69" i="3" s="1"/>
  <c r="BT69" i="3" s="1"/>
  <c r="BU69" i="3" s="1"/>
  <c r="BQ57" i="3"/>
  <c r="BQ45" i="3"/>
  <c r="BR45" i="3" s="1"/>
  <c r="BQ33" i="3"/>
  <c r="BQ21" i="3"/>
  <c r="AM94" i="3"/>
  <c r="AN94" i="3" s="1"/>
  <c r="AM72" i="3"/>
  <c r="AN72" i="3" s="1"/>
  <c r="AM53" i="3"/>
  <c r="AN53" i="3" s="1"/>
  <c r="AM33" i="3"/>
  <c r="AN33" i="3" s="1"/>
  <c r="AM11" i="3"/>
  <c r="AN11" i="3" s="1"/>
  <c r="AN88" i="3"/>
  <c r="AN69" i="3"/>
  <c r="AN27" i="3"/>
  <c r="AW101" i="3"/>
  <c r="AW89" i="3"/>
  <c r="AW77" i="3"/>
  <c r="AW65" i="3"/>
  <c r="AW53" i="3"/>
  <c r="AW41" i="3"/>
  <c r="AW29" i="3"/>
  <c r="AW17" i="3"/>
  <c r="AX94" i="3"/>
  <c r="AX58" i="3"/>
  <c r="AX34" i="3"/>
  <c r="AX22" i="3"/>
  <c r="AX10" i="3"/>
  <c r="BB100" i="3"/>
  <c r="BC88" i="3"/>
  <c r="BD64" i="3"/>
  <c r="BC52" i="3"/>
  <c r="BE40" i="3"/>
  <c r="BP40" i="3" s="1"/>
  <c r="BC28" i="3"/>
  <c r="BM87" i="3"/>
  <c r="BQ98" i="3"/>
  <c r="BX42" i="3"/>
  <c r="BY42" i="3" s="1"/>
  <c r="BZ42" i="3" s="1"/>
  <c r="CA42" i="3" s="1"/>
  <c r="BB16" i="3"/>
  <c r="BE4" i="3"/>
  <c r="BP4" i="3" s="1"/>
  <c r="BN98" i="3"/>
  <c r="BW98" i="3" s="1"/>
  <c r="BM98" i="3"/>
  <c r="BN86" i="3"/>
  <c r="BW86" i="3" s="1"/>
  <c r="BM86" i="3"/>
  <c r="BN74" i="3"/>
  <c r="BW74" i="3" s="1"/>
  <c r="BM74" i="3"/>
  <c r="BN62" i="3"/>
  <c r="BW62" i="3" s="1"/>
  <c r="BM62" i="3"/>
  <c r="BN50" i="3"/>
  <c r="BW50" i="3" s="1"/>
  <c r="BM50" i="3"/>
  <c r="BN38" i="3"/>
  <c r="BW38" i="3" s="1"/>
  <c r="BM38" i="3"/>
  <c r="BN26" i="3"/>
  <c r="BW26" i="3" s="1"/>
  <c r="BM26" i="3"/>
  <c r="BN14" i="3"/>
  <c r="BW14" i="3" s="1"/>
  <c r="BM14" i="3"/>
  <c r="BI5" i="3"/>
  <c r="BK5" i="3" s="1"/>
  <c r="AV81" i="3"/>
  <c r="AV69" i="3"/>
  <c r="AV45" i="3"/>
  <c r="AV33" i="3"/>
  <c r="AV9" i="3"/>
  <c r="AW96" i="3"/>
  <c r="AW72" i="3"/>
  <c r="AW60" i="3"/>
  <c r="AW36" i="3"/>
  <c r="AW24" i="3"/>
  <c r="AX101" i="3"/>
  <c r="AX89" i="3"/>
  <c r="AX77" i="3"/>
  <c r="AX65" i="3"/>
  <c r="AX53" i="3"/>
  <c r="AX29" i="3"/>
  <c r="AX17" i="3"/>
  <c r="AX5" i="3"/>
  <c r="BM71" i="3"/>
  <c r="BN71" i="3"/>
  <c r="BW71" i="3" s="1"/>
  <c r="BM59" i="3"/>
  <c r="BN59" i="3"/>
  <c r="BW59" i="3" s="1"/>
  <c r="BM35" i="3"/>
  <c r="BN35" i="3"/>
  <c r="BW35" i="3" s="1"/>
  <c r="BM23" i="3"/>
  <c r="BN23" i="3"/>
  <c r="BW23" i="3" s="1"/>
  <c r="BN82" i="3"/>
  <c r="BW82" i="3" s="1"/>
  <c r="BN34" i="3"/>
  <c r="BW34" i="3" s="1"/>
  <c r="AV80" i="3"/>
  <c r="AV68" i="3"/>
  <c r="AV44" i="3"/>
  <c r="AV32" i="3"/>
  <c r="AV8" i="3"/>
  <c r="AW95" i="3"/>
  <c r="AW71" i="3"/>
  <c r="AW59" i="3"/>
  <c r="AW35" i="3"/>
  <c r="AW23" i="3"/>
  <c r="AX100" i="3"/>
  <c r="AX88" i="3"/>
  <c r="AX64" i="3"/>
  <c r="AX52" i="3"/>
  <c r="AX28" i="3"/>
  <c r="AX16" i="3"/>
  <c r="BD96" i="3"/>
  <c r="BD72" i="3"/>
  <c r="BE60" i="3"/>
  <c r="BP60" i="3" s="1"/>
  <c r="BB48" i="3"/>
  <c r="BD24" i="3"/>
  <c r="BE12" i="3"/>
  <c r="BP12" i="3" s="1"/>
  <c r="BD12" i="3"/>
  <c r="BC63" i="3"/>
  <c r="BC3" i="3"/>
  <c r="BC16" i="3"/>
  <c r="BE24" i="3"/>
  <c r="BP24" i="3" s="1"/>
  <c r="BN78" i="3"/>
  <c r="BW78" i="3" s="1"/>
  <c r="BE47" i="3"/>
  <c r="BP47" i="3" s="1"/>
  <c r="BD35" i="3"/>
  <c r="BD23" i="3"/>
  <c r="BD11" i="3"/>
  <c r="BC98" i="3"/>
  <c r="BC86" i="3"/>
  <c r="BC62" i="3"/>
  <c r="BC50" i="3"/>
  <c r="BC26" i="3"/>
  <c r="BE101" i="3"/>
  <c r="BP101" i="3" s="1"/>
  <c r="BC89" i="3"/>
  <c r="BD65" i="3"/>
  <c r="BC53" i="3"/>
  <c r="BE41" i="3"/>
  <c r="BP41" i="3" s="1"/>
  <c r="BD29" i="3"/>
  <c r="BE17" i="3"/>
  <c r="BP17" i="3" s="1"/>
  <c r="BD5" i="3"/>
  <c r="BN70" i="3"/>
  <c r="BW70" i="3" s="1"/>
  <c r="AV101" i="3"/>
  <c r="AV89" i="3"/>
  <c r="AV77" i="3"/>
  <c r="AV65" i="3"/>
  <c r="AV53" i="3"/>
  <c r="AV41" i="3"/>
  <c r="AV29" i="3"/>
  <c r="AV17" i="3"/>
  <c r="AV5" i="3"/>
  <c r="BB81" i="3"/>
  <c r="BE69" i="3"/>
  <c r="BP69" i="3" s="1"/>
  <c r="BD69" i="3"/>
  <c r="BD57" i="3"/>
  <c r="BE45" i="3"/>
  <c r="BP45" i="3" s="1"/>
  <c r="BD33" i="3"/>
  <c r="BE96" i="3"/>
  <c r="BP96" i="3" s="1"/>
  <c r="BB84" i="3"/>
  <c r="BB72" i="3"/>
  <c r="BC60" i="3"/>
  <c r="BD48" i="3"/>
  <c r="BC24" i="3"/>
  <c r="BC12" i="3"/>
  <c r="BC99" i="3"/>
  <c r="BD87" i="3"/>
  <c r="BD75" i="3"/>
  <c r="BE63" i="3"/>
  <c r="BP63" i="3" s="1"/>
  <c r="BC39" i="3"/>
  <c r="BD27" i="3"/>
  <c r="BE15" i="3"/>
  <c r="BP15" i="3" s="1"/>
  <c r="BD3" i="3"/>
  <c r="BI91" i="3"/>
  <c r="BJ91" i="3" s="1"/>
  <c r="BV91" i="3" s="1"/>
  <c r="BN91" i="3"/>
  <c r="BW91" i="3" s="1"/>
  <c r="BI79" i="3"/>
  <c r="BJ79" i="3" s="1"/>
  <c r="BV79" i="3" s="1"/>
  <c r="BN79" i="3"/>
  <c r="BW79" i="3" s="1"/>
  <c r="BI43" i="3"/>
  <c r="BJ43" i="3" s="1"/>
  <c r="BV43" i="3" s="1"/>
  <c r="BI70" i="3"/>
  <c r="BK70" i="3" s="1"/>
  <c r="BL70" i="3" s="1"/>
  <c r="BO70" i="3" s="1"/>
  <c r="BN22" i="3"/>
  <c r="BW22" i="3" s="1"/>
  <c r="AV52" i="3"/>
  <c r="AW79" i="3"/>
  <c r="AW67" i="3"/>
  <c r="AW55" i="3"/>
  <c r="AW7" i="3"/>
  <c r="AX96" i="3"/>
  <c r="AX84" i="3"/>
  <c r="AX72" i="3"/>
  <c r="AX60" i="3"/>
  <c r="AX48" i="3"/>
  <c r="AX36" i="3"/>
  <c r="AX24" i="3"/>
  <c r="AX12" i="3"/>
  <c r="BB92" i="3"/>
  <c r="BC68" i="3"/>
  <c r="BD68" i="3"/>
  <c r="BE68" i="3"/>
  <c r="BP68" i="3" s="1"/>
  <c r="BD56" i="3"/>
  <c r="BC56" i="3"/>
  <c r="BE44" i="3"/>
  <c r="BP44" i="3" s="1"/>
  <c r="BE32" i="3"/>
  <c r="BP32" i="3" s="1"/>
  <c r="BC20" i="3"/>
  <c r="BE8" i="3"/>
  <c r="BP8" i="3" s="1"/>
  <c r="BD2" i="3"/>
  <c r="BB12" i="3"/>
  <c r="BI90" i="3"/>
  <c r="BJ90" i="3" s="1"/>
  <c r="BV90" i="3" s="1"/>
  <c r="BM90" i="3"/>
  <c r="BI66" i="3"/>
  <c r="BK66" i="3" s="1"/>
  <c r="BL66" i="3" s="1"/>
  <c r="BO66" i="3" s="1"/>
  <c r="BM66" i="3"/>
  <c r="BI54" i="3"/>
  <c r="BK54" i="3" s="1"/>
  <c r="BL54" i="3" s="1"/>
  <c r="BO54" i="3" s="1"/>
  <c r="BM54" i="3"/>
  <c r="BI30" i="3"/>
  <c r="BK30" i="3" s="1"/>
  <c r="BM30" i="3"/>
  <c r="BI18" i="3"/>
  <c r="BJ18" i="3" s="1"/>
  <c r="BV18" i="3" s="1"/>
  <c r="BM18" i="3"/>
  <c r="BM93" i="3"/>
  <c r="BI41" i="3"/>
  <c r="BJ41" i="3" s="1"/>
  <c r="BV41" i="3" s="1"/>
  <c r="BM6" i="3"/>
  <c r="BN66" i="3"/>
  <c r="BW66" i="3" s="1"/>
  <c r="BN18" i="3"/>
  <c r="BW18" i="3" s="1"/>
  <c r="AV99" i="3"/>
  <c r="AV51" i="3"/>
  <c r="AV39" i="3"/>
  <c r="AV27" i="3"/>
  <c r="AW66" i="3"/>
  <c r="AW54" i="3"/>
  <c r="AW18" i="3"/>
  <c r="AX83" i="3"/>
  <c r="AX35" i="3"/>
  <c r="AX11" i="3"/>
  <c r="BC91" i="3"/>
  <c r="BE67" i="3"/>
  <c r="BP67" i="3" s="1"/>
  <c r="BC67" i="3"/>
  <c r="BE55" i="3"/>
  <c r="BP55" i="3" s="1"/>
  <c r="BC55" i="3"/>
  <c r="BB43" i="3"/>
  <c r="BE19" i="3"/>
  <c r="BP19" i="3" s="1"/>
  <c r="BD19" i="3"/>
  <c r="BD7" i="3"/>
  <c r="BC96" i="3"/>
  <c r="BI101" i="3"/>
  <c r="BK101" i="3" s="1"/>
  <c r="BM89" i="3"/>
  <c r="BM53" i="3"/>
  <c r="BM17" i="3"/>
  <c r="BM91" i="3"/>
  <c r="BN58" i="3"/>
  <c r="BW58" i="3" s="1"/>
  <c r="BI93" i="3"/>
  <c r="BK93" i="3" s="1"/>
  <c r="BI81" i="3"/>
  <c r="BJ81" i="3" s="1"/>
  <c r="BV81" i="3" s="1"/>
  <c r="BM81" i="3"/>
  <c r="BM69" i="3"/>
  <c r="BI57" i="3"/>
  <c r="BM57" i="3"/>
  <c r="BI45" i="3"/>
  <c r="BK45" i="3" s="1"/>
  <c r="BL45" i="3" s="1"/>
  <c r="BO45" i="3" s="1"/>
  <c r="BM45" i="3"/>
  <c r="BI33" i="3"/>
  <c r="BM33" i="3"/>
  <c r="BM21" i="3"/>
  <c r="BM9" i="3"/>
  <c r="BI3" i="3"/>
  <c r="BK3" i="3" s="1"/>
  <c r="BL3" i="3" s="1"/>
  <c r="BO3" i="3" s="1"/>
  <c r="BN100" i="3"/>
  <c r="BW100" i="3" s="1"/>
  <c r="BN81" i="3"/>
  <c r="BW81" i="3" s="1"/>
  <c r="BN64" i="3"/>
  <c r="BW64" i="3" s="1"/>
  <c r="BN45" i="3"/>
  <c r="BW45" i="3" s="1"/>
  <c r="BN28" i="3"/>
  <c r="BW28" i="3" s="1"/>
  <c r="BN9" i="3"/>
  <c r="BW9" i="3" s="1"/>
  <c r="BI92" i="3"/>
  <c r="BK92" i="3" s="1"/>
  <c r="BL92" i="3" s="1"/>
  <c r="BO92" i="3" s="1"/>
  <c r="BI80" i="3"/>
  <c r="BI68" i="3"/>
  <c r="BK68" i="3" s="1"/>
  <c r="BI56" i="3"/>
  <c r="BK56" i="3" s="1"/>
  <c r="BL56" i="3" s="1"/>
  <c r="BO56" i="3" s="1"/>
  <c r="BI44" i="3"/>
  <c r="BK44" i="3" s="1"/>
  <c r="BL44" i="3" s="1"/>
  <c r="BO44" i="3" s="1"/>
  <c r="BI32" i="3"/>
  <c r="BJ32" i="3" s="1"/>
  <c r="BV32" i="3" s="1"/>
  <c r="BI20" i="3"/>
  <c r="BK20" i="3" s="1"/>
  <c r="BI8" i="3"/>
  <c r="BK8" i="3" s="1"/>
  <c r="BI99" i="3"/>
  <c r="BK99" i="3" s="1"/>
  <c r="BI87" i="3"/>
  <c r="BK87" i="3" s="1"/>
  <c r="BI63" i="3"/>
  <c r="BJ63" i="3" s="1"/>
  <c r="BV63" i="3" s="1"/>
  <c r="BI39" i="3"/>
  <c r="BK39" i="3" s="1"/>
  <c r="BL39" i="3" s="1"/>
  <c r="BO39" i="3" s="1"/>
  <c r="BI27" i="3"/>
  <c r="BK27" i="3" s="1"/>
  <c r="BL27" i="3" s="1"/>
  <c r="BO27" i="3" s="1"/>
  <c r="BI2" i="3"/>
  <c r="BK2" i="3" s="1"/>
  <c r="BM2" i="3"/>
  <c r="BW2" i="3"/>
  <c r="BM101" i="3"/>
  <c r="BN80" i="3"/>
  <c r="BW80" i="3" s="1"/>
  <c r="BN44" i="3"/>
  <c r="BW44" i="3" s="1"/>
  <c r="BN8" i="3"/>
  <c r="BW8" i="3" s="1"/>
  <c r="BI67" i="3"/>
  <c r="BI55" i="3"/>
  <c r="BJ55" i="3" s="1"/>
  <c r="BV55" i="3" s="1"/>
  <c r="BI31" i="3"/>
  <c r="BJ31" i="3" s="1"/>
  <c r="BV31" i="3" s="1"/>
  <c r="BZ31" i="3" s="1"/>
  <c r="CA31" i="3" s="1"/>
  <c r="BI19" i="3"/>
  <c r="BJ19" i="3" s="1"/>
  <c r="BV19" i="3" s="1"/>
  <c r="BI7" i="3"/>
  <c r="BJ7" i="3" s="1"/>
  <c r="BV7" i="3" s="1"/>
  <c r="BI94" i="3"/>
  <c r="BK94" i="3" s="1"/>
  <c r="BI82" i="3"/>
  <c r="BK82" i="3" s="1"/>
  <c r="BI58" i="3"/>
  <c r="BK58" i="3" s="1"/>
  <c r="BL58" i="3" s="1"/>
  <c r="BO58" i="3" s="1"/>
  <c r="BI46" i="3"/>
  <c r="BJ46" i="3" s="1"/>
  <c r="BV46" i="3" s="1"/>
  <c r="BI34" i="3"/>
  <c r="BJ34" i="3" s="1"/>
  <c r="BV34" i="3" s="1"/>
  <c r="BI22" i="3"/>
  <c r="BK22" i="3" s="1"/>
  <c r="BL22" i="3" s="1"/>
  <c r="BO22" i="3" s="1"/>
  <c r="BI10" i="3"/>
  <c r="BK10" i="3" s="1"/>
  <c r="BL10" i="3" s="1"/>
  <c r="BO10" i="3" s="1"/>
  <c r="BI98" i="3"/>
  <c r="BI86" i="3"/>
  <c r="BK86" i="3" s="1"/>
  <c r="BL86" i="3" s="1"/>
  <c r="BO86" i="3" s="1"/>
  <c r="BI62" i="3"/>
  <c r="BJ62" i="3" s="1"/>
  <c r="BV62" i="3" s="1"/>
  <c r="BI50" i="3"/>
  <c r="BI38" i="3"/>
  <c r="BJ38" i="3" s="1"/>
  <c r="BV38" i="3" s="1"/>
  <c r="BI26" i="3"/>
  <c r="BK26" i="3" s="1"/>
  <c r="BL26" i="3" s="1"/>
  <c r="BO26" i="3" s="1"/>
  <c r="BM68" i="3"/>
  <c r="BM32" i="3"/>
  <c r="BN43" i="3"/>
  <c r="BW43" i="3" s="1"/>
  <c r="BN7" i="3"/>
  <c r="BW7" i="3" s="1"/>
  <c r="BN101" i="3"/>
  <c r="BW101" i="3" s="1"/>
  <c r="BI89" i="3"/>
  <c r="BJ89" i="3" s="1"/>
  <c r="BV89" i="3" s="1"/>
  <c r="BN89" i="3"/>
  <c r="BW89" i="3" s="1"/>
  <c r="BI77" i="3"/>
  <c r="BJ77" i="3" s="1"/>
  <c r="BV77" i="3" s="1"/>
  <c r="BN77" i="3"/>
  <c r="BW77" i="3" s="1"/>
  <c r="BI65" i="3"/>
  <c r="BK65" i="3" s="1"/>
  <c r="BL65" i="3" s="1"/>
  <c r="BO65" i="3" s="1"/>
  <c r="BN65" i="3"/>
  <c r="BW65" i="3" s="1"/>
  <c r="BI53" i="3"/>
  <c r="BN53" i="3"/>
  <c r="BN41" i="3"/>
  <c r="BW41" i="3" s="1"/>
  <c r="BI29" i="3"/>
  <c r="BK29" i="3" s="1"/>
  <c r="BL29" i="3" s="1"/>
  <c r="BO29" i="3" s="1"/>
  <c r="BN29" i="3"/>
  <c r="BI17" i="3"/>
  <c r="BK17" i="3" s="1"/>
  <c r="BL17" i="3" s="1"/>
  <c r="BO17" i="3" s="1"/>
  <c r="BN17" i="3"/>
  <c r="BW17" i="3" s="1"/>
  <c r="BN5" i="3"/>
  <c r="BW5" i="3" s="1"/>
  <c r="BI69" i="3"/>
  <c r="BK69" i="3" s="1"/>
  <c r="BL69" i="3" s="1"/>
  <c r="BO69" i="3" s="1"/>
  <c r="BN93" i="3"/>
  <c r="BW93" i="3" s="1"/>
  <c r="BN57" i="3"/>
  <c r="BW57" i="3" s="1"/>
  <c r="BN21" i="3"/>
  <c r="BW21" i="3" s="1"/>
  <c r="BM65" i="3"/>
  <c r="BM29" i="3"/>
  <c r="BN92" i="3"/>
  <c r="BW92" i="3" s="1"/>
  <c r="BN56" i="3"/>
  <c r="BW56" i="3" s="1"/>
  <c r="BN20" i="3"/>
  <c r="BW20" i="3" s="1"/>
  <c r="BM80" i="3"/>
  <c r="BM44" i="3"/>
  <c r="BM8" i="3"/>
  <c r="BN55" i="3"/>
  <c r="BW55" i="3" s="1"/>
  <c r="BN19" i="3"/>
  <c r="BW19" i="3" s="1"/>
  <c r="BJ50" i="3"/>
  <c r="BV50" i="3" s="1"/>
  <c r="BK50" i="3"/>
  <c r="BL50" i="3" s="1"/>
  <c r="BO50" i="3" s="1"/>
  <c r="BJ98" i="3"/>
  <c r="BV98" i="3" s="1"/>
  <c r="BK98" i="3"/>
  <c r="BJ17" i="3"/>
  <c r="BV17" i="3" s="1"/>
  <c r="BK9" i="3"/>
  <c r="BJ9" i="3"/>
  <c r="BV9" i="3" s="1"/>
  <c r="BJ49" i="3"/>
  <c r="BV49" i="3" s="1"/>
  <c r="BK49" i="3"/>
  <c r="BL49" i="3" s="1"/>
  <c r="BO49" i="3" s="1"/>
  <c r="BS49" i="3" s="1"/>
  <c r="BT49" i="3" s="1"/>
  <c r="BU49" i="3" s="1"/>
  <c r="BJ67" i="3"/>
  <c r="BV67" i="3" s="1"/>
  <c r="BK67" i="3"/>
  <c r="BL67" i="3" s="1"/>
  <c r="BO67" i="3" s="1"/>
  <c r="BK62" i="3"/>
  <c r="BL62" i="3" s="1"/>
  <c r="BO62" i="3" s="1"/>
  <c r="BJ70" i="3"/>
  <c r="BV70" i="3" s="1"/>
  <c r="BK80" i="3"/>
  <c r="BL80" i="3" s="1"/>
  <c r="BO80" i="3" s="1"/>
  <c r="BJ80" i="3"/>
  <c r="BV80" i="3" s="1"/>
  <c r="BJ99" i="3"/>
  <c r="BV99" i="3" s="1"/>
  <c r="BJ87" i="3"/>
  <c r="BV87" i="3" s="1"/>
  <c r="BE95" i="3"/>
  <c r="BP95" i="3" s="1"/>
  <c r="BC95" i="3"/>
  <c r="BB95" i="3"/>
  <c r="BD70" i="3"/>
  <c r="BC70" i="3"/>
  <c r="BE70" i="3"/>
  <c r="BP70" i="3" s="1"/>
  <c r="BD34" i="3"/>
  <c r="BC34" i="3"/>
  <c r="BE34" i="3"/>
  <c r="BP34" i="3" s="1"/>
  <c r="BB29" i="3"/>
  <c r="BE85" i="3"/>
  <c r="BP85" i="3" s="1"/>
  <c r="BB93" i="3"/>
  <c r="BE93" i="3"/>
  <c r="BP93" i="3" s="1"/>
  <c r="BC93" i="3"/>
  <c r="BD9" i="3"/>
  <c r="BB9" i="3"/>
  <c r="BE64" i="3"/>
  <c r="BP64" i="3" s="1"/>
  <c r="BB27" i="3"/>
  <c r="BC29" i="3"/>
  <c r="BE59" i="3"/>
  <c r="BP59" i="3" s="1"/>
  <c r="BB61" i="3"/>
  <c r="BC47" i="3"/>
  <c r="BD45" i="3"/>
  <c r="BE37" i="3"/>
  <c r="BP37" i="3" s="1"/>
  <c r="BC90" i="3"/>
  <c r="BE90" i="3"/>
  <c r="BP90" i="3" s="1"/>
  <c r="BB90" i="3"/>
  <c r="BD90" i="3"/>
  <c r="BC54" i="3"/>
  <c r="BE54" i="3"/>
  <c r="BP54" i="3" s="1"/>
  <c r="BB54" i="3"/>
  <c r="BD54" i="3"/>
  <c r="BC18" i="3"/>
  <c r="BE18" i="3"/>
  <c r="BP18" i="3" s="1"/>
  <c r="BB18" i="3"/>
  <c r="BD18" i="3"/>
  <c r="BC85" i="3"/>
  <c r="BC27" i="3"/>
  <c r="BE100" i="3"/>
  <c r="BP100" i="3" s="1"/>
  <c r="BC5" i="3"/>
  <c r="BB99" i="3"/>
  <c r="BB20" i="3"/>
  <c r="BC4" i="3"/>
  <c r="BD63" i="3"/>
  <c r="BE99" i="3"/>
  <c r="BP99" i="3" s="1"/>
  <c r="BE75" i="3"/>
  <c r="BP75" i="3" s="1"/>
  <c r="BK13" i="3"/>
  <c r="BL13" i="3" s="1"/>
  <c r="BO13" i="3" s="1"/>
  <c r="BC23" i="3"/>
  <c r="BB23" i="3"/>
  <c r="BD58" i="3"/>
  <c r="BC58" i="3"/>
  <c r="BE58" i="3"/>
  <c r="BP58" i="3" s="1"/>
  <c r="BD10" i="3"/>
  <c r="BC10" i="3"/>
  <c r="BE10" i="3"/>
  <c r="BP10" i="3" s="1"/>
  <c r="BE65" i="3"/>
  <c r="BP65" i="3" s="1"/>
  <c r="BB21" i="3"/>
  <c r="BC21" i="3"/>
  <c r="BB51" i="3"/>
  <c r="BC51" i="3"/>
  <c r="BB85" i="3"/>
  <c r="BB10" i="3"/>
  <c r="BD28" i="3"/>
  <c r="BB63" i="3"/>
  <c r="BC48" i="3"/>
  <c r="BD47" i="3"/>
  <c r="BE39" i="3"/>
  <c r="BP39" i="3" s="1"/>
  <c r="BE81" i="3"/>
  <c r="BP81" i="3" s="1"/>
  <c r="BI75" i="3"/>
  <c r="BB60" i="3"/>
  <c r="BB52" i="3"/>
  <c r="BD101" i="3"/>
  <c r="BD81" i="3"/>
  <c r="BD61" i="3"/>
  <c r="BD17" i="3"/>
  <c r="BE97" i="3"/>
  <c r="BP97" i="3" s="1"/>
  <c r="BE73" i="3"/>
  <c r="BP73" i="3" s="1"/>
  <c r="BE53" i="3"/>
  <c r="BP53" i="3" s="1"/>
  <c r="BE33" i="3"/>
  <c r="BP33" i="3" s="1"/>
  <c r="BE9" i="3"/>
  <c r="BP9" i="3" s="1"/>
  <c r="BI96" i="3"/>
  <c r="BI84" i="3"/>
  <c r="BI72" i="3"/>
  <c r="BI60" i="3"/>
  <c r="BI48" i="3"/>
  <c r="BI36" i="3"/>
  <c r="BI24" i="3"/>
  <c r="BI12" i="3"/>
  <c r="BI15" i="3"/>
  <c r="BD95" i="3"/>
  <c r="BE23" i="3"/>
  <c r="BP23" i="3" s="1"/>
  <c r="BD82" i="3"/>
  <c r="BC82" i="3"/>
  <c r="BE82" i="3"/>
  <c r="BP82" i="3" s="1"/>
  <c r="BD22" i="3"/>
  <c r="BC22" i="3"/>
  <c r="BE22" i="3"/>
  <c r="BP22" i="3" s="1"/>
  <c r="BB22" i="3"/>
  <c r="BB11" i="3"/>
  <c r="BD49" i="3"/>
  <c r="BJ78" i="3"/>
  <c r="BV78" i="3" s="1"/>
  <c r="BJ42" i="3"/>
  <c r="BV42" i="3" s="1"/>
  <c r="BC36" i="3"/>
  <c r="BB36" i="3"/>
  <c r="BB28" i="3"/>
  <c r="BC71" i="3"/>
  <c r="BE84" i="3"/>
  <c r="BP84" i="3" s="1"/>
  <c r="BB5" i="3"/>
  <c r="BB101" i="3"/>
  <c r="BB44" i="3"/>
  <c r="BC9" i="3"/>
  <c r="BD21" i="3"/>
  <c r="BE57" i="3"/>
  <c r="BP57" i="3" s="1"/>
  <c r="BC66" i="3"/>
  <c r="BE66" i="3"/>
  <c r="BP66" i="3" s="1"/>
  <c r="BB66" i="3"/>
  <c r="BD66" i="3"/>
  <c r="BC30" i="3"/>
  <c r="BE30" i="3"/>
  <c r="BP30" i="3" s="1"/>
  <c r="BB30" i="3"/>
  <c r="BD30" i="3"/>
  <c r="BB82" i="3"/>
  <c r="BB3" i="3"/>
  <c r="BC45" i="3"/>
  <c r="BD84" i="3"/>
  <c r="BD20" i="3"/>
  <c r="BE56" i="3"/>
  <c r="BP56" i="3" s="1"/>
  <c r="BD89" i="3"/>
  <c r="BB65" i="3"/>
  <c r="BC65" i="3"/>
  <c r="BE29" i="3"/>
  <c r="BP29" i="3" s="1"/>
  <c r="BB59" i="3"/>
  <c r="BC84" i="3"/>
  <c r="BE11" i="3"/>
  <c r="BP11" i="3" s="1"/>
  <c r="BB64" i="3"/>
  <c r="BC64" i="3"/>
  <c r="BI14" i="3"/>
  <c r="BB80" i="3"/>
  <c r="BC80" i="3"/>
  <c r="BC87" i="3"/>
  <c r="BE83" i="3"/>
  <c r="BP83" i="3" s="1"/>
  <c r="BB4" i="3"/>
  <c r="BI51" i="3"/>
  <c r="BE76" i="3"/>
  <c r="BP76" i="3" s="1"/>
  <c r="BD40" i="3"/>
  <c r="BB97" i="3"/>
  <c r="BB58" i="3"/>
  <c r="BB19" i="3"/>
  <c r="BC43" i="3"/>
  <c r="BB96" i="3"/>
  <c r="BB39" i="3"/>
  <c r="BB17" i="3"/>
  <c r="BC81" i="3"/>
  <c r="BD100" i="3"/>
  <c r="BD60" i="3"/>
  <c r="BD16" i="3"/>
  <c r="BE72" i="3"/>
  <c r="BP72" i="3" s="1"/>
  <c r="BI83" i="3"/>
  <c r="BI59" i="3"/>
  <c r="BI47" i="3"/>
  <c r="BI35" i="3"/>
  <c r="BI23" i="3"/>
  <c r="BI11" i="3"/>
  <c r="BI74" i="3"/>
  <c r="BB56" i="3"/>
  <c r="BB34" i="3"/>
  <c r="BC76" i="3"/>
  <c r="BC59" i="3"/>
  <c r="BC40" i="3"/>
  <c r="BD99" i="3"/>
  <c r="BD55" i="3"/>
  <c r="BD15" i="3"/>
  <c r="BE91" i="3"/>
  <c r="BP91" i="3" s="1"/>
  <c r="BE71" i="3"/>
  <c r="BP71" i="3" s="1"/>
  <c r="BE51" i="3"/>
  <c r="BP51" i="3" s="1"/>
  <c r="BE27" i="3"/>
  <c r="BP27" i="3" s="1"/>
  <c r="BK61" i="3"/>
  <c r="BC35" i="3"/>
  <c r="BB35" i="3"/>
  <c r="BD94" i="3"/>
  <c r="BC94" i="3"/>
  <c r="BE94" i="3"/>
  <c r="BP94" i="3" s="1"/>
  <c r="BB94" i="3"/>
  <c r="BD46" i="3"/>
  <c r="BC46" i="3"/>
  <c r="BE46" i="3"/>
  <c r="BP46" i="3" s="1"/>
  <c r="BB47" i="3"/>
  <c r="BC13" i="3"/>
  <c r="BJ66" i="3"/>
  <c r="BV66" i="3" s="1"/>
  <c r="BE92" i="3"/>
  <c r="BP92" i="3" s="1"/>
  <c r="BC92" i="3"/>
  <c r="BD8" i="3"/>
  <c r="BB8" i="3"/>
  <c r="BC2" i="3"/>
  <c r="BE2" i="3"/>
  <c r="BP2" i="3" s="1"/>
  <c r="BB2" i="3"/>
  <c r="BB45" i="3"/>
  <c r="BC69" i="3"/>
  <c r="BC11" i="3"/>
  <c r="BB83" i="3"/>
  <c r="BB25" i="3"/>
  <c r="BC78" i="3"/>
  <c r="BE78" i="3"/>
  <c r="BP78" i="3" s="1"/>
  <c r="BB78" i="3"/>
  <c r="BD78" i="3"/>
  <c r="BC42" i="3"/>
  <c r="BE42" i="3"/>
  <c r="BP42" i="3" s="1"/>
  <c r="BB42" i="3"/>
  <c r="BD42" i="3"/>
  <c r="BC6" i="3"/>
  <c r="BE6" i="3"/>
  <c r="BP6" i="3" s="1"/>
  <c r="BB6" i="3"/>
  <c r="BD6" i="3"/>
  <c r="BB24" i="3"/>
  <c r="BC8" i="3"/>
  <c r="BD44" i="3"/>
  <c r="BE80" i="3"/>
  <c r="BP80" i="3" s="1"/>
  <c r="BE36" i="3"/>
  <c r="BP36" i="3" s="1"/>
  <c r="BK77" i="3"/>
  <c r="BL77" i="3" s="1"/>
  <c r="BO77" i="3" s="1"/>
  <c r="BC77" i="3"/>
  <c r="BE77" i="3"/>
  <c r="BP77" i="3" s="1"/>
  <c r="BD41" i="3"/>
  <c r="BB77" i="3"/>
  <c r="BB41" i="3"/>
  <c r="BC44" i="3"/>
  <c r="BD83" i="3"/>
  <c r="BD39" i="3"/>
  <c r="BE35" i="3"/>
  <c r="BP35" i="3" s="1"/>
  <c r="BD88" i="3"/>
  <c r="BE28" i="3"/>
  <c r="BP28" i="3" s="1"/>
  <c r="BB79" i="3"/>
  <c r="BC79" i="3"/>
  <c r="BE79" i="3"/>
  <c r="BP79" i="3" s="1"/>
  <c r="BB7" i="3"/>
  <c r="BC7" i="3"/>
  <c r="BB76" i="3"/>
  <c r="BB40" i="3"/>
  <c r="BC25" i="3"/>
  <c r="BB75" i="3"/>
  <c r="BB57" i="3"/>
  <c r="BD80" i="3"/>
  <c r="BD36" i="3"/>
  <c r="BE52" i="3"/>
  <c r="BP52" i="3" s="1"/>
  <c r="BI95" i="3"/>
  <c r="BI71" i="3"/>
  <c r="BD73" i="3"/>
  <c r="BE61" i="3"/>
  <c r="BP61" i="3" s="1"/>
  <c r="BC49" i="3"/>
  <c r="BC37" i="3"/>
  <c r="BD25" i="3"/>
  <c r="BE13" i="3"/>
  <c r="BP13" i="3" s="1"/>
  <c r="BB91" i="3"/>
  <c r="BB33" i="3"/>
  <c r="BB15" i="3"/>
  <c r="BC97" i="3"/>
  <c r="BC75" i="3"/>
  <c r="BC57" i="3"/>
  <c r="BD77" i="3"/>
  <c r="BE89" i="3"/>
  <c r="BP89" i="3" s="1"/>
  <c r="BE5" i="3"/>
  <c r="BP5" i="3" s="1"/>
  <c r="AW5" i="3"/>
  <c r="BE98" i="3"/>
  <c r="BP98" i="3" s="1"/>
  <c r="BB98" i="3"/>
  <c r="BD98" i="3"/>
  <c r="BE86" i="3"/>
  <c r="BP86" i="3" s="1"/>
  <c r="BB86" i="3"/>
  <c r="BD86" i="3"/>
  <c r="BE74" i="3"/>
  <c r="BP74" i="3" s="1"/>
  <c r="BB74" i="3"/>
  <c r="BD74" i="3"/>
  <c r="BE62" i="3"/>
  <c r="BP62" i="3" s="1"/>
  <c r="BB62" i="3"/>
  <c r="BD62" i="3"/>
  <c r="BE50" i="3"/>
  <c r="BP50" i="3" s="1"/>
  <c r="BB50" i="3"/>
  <c r="BD50" i="3"/>
  <c r="BE38" i="3"/>
  <c r="BP38" i="3" s="1"/>
  <c r="BB38" i="3"/>
  <c r="BD38" i="3"/>
  <c r="BE26" i="3"/>
  <c r="BP26" i="3" s="1"/>
  <c r="BB26" i="3"/>
  <c r="BD26" i="3"/>
  <c r="BE14" i="3"/>
  <c r="BP14" i="3" s="1"/>
  <c r="BB14" i="3"/>
  <c r="BD14" i="3"/>
  <c r="BC14" i="3"/>
  <c r="BB37" i="3"/>
  <c r="BI100" i="3"/>
  <c r="BI88" i="3"/>
  <c r="BI76" i="3"/>
  <c r="BI64" i="3"/>
  <c r="BI52" i="3"/>
  <c r="BI40" i="3"/>
  <c r="BI28" i="3"/>
  <c r="BI16" i="3"/>
  <c r="BI4" i="3"/>
  <c r="BB49" i="3"/>
  <c r="F13" i="1"/>
  <c r="F14" i="1" s="1"/>
  <c r="F15" i="1" s="1"/>
  <c r="M18" i="2" l="1"/>
  <c r="I27" i="2"/>
  <c r="C11" i="2"/>
  <c r="F11" i="2"/>
  <c r="L5" i="2"/>
  <c r="L27" i="2" s="1"/>
  <c r="K27" i="2"/>
  <c r="B5" i="2"/>
  <c r="B27" i="2" s="1"/>
  <c r="AA10" i="2"/>
  <c r="AA5" i="2" s="1"/>
  <c r="AA27" i="2" s="1"/>
  <c r="X11" i="2"/>
  <c r="AA11" i="2"/>
  <c r="BJ101" i="3"/>
  <c r="BV101" i="3" s="1"/>
  <c r="BR21" i="3"/>
  <c r="BY92" i="3"/>
  <c r="BY73" i="3"/>
  <c r="BY90" i="3"/>
  <c r="BY34" i="3"/>
  <c r="BJ92" i="3"/>
  <c r="BV92" i="3" s="1"/>
  <c r="BL21" i="3"/>
  <c r="BO21" i="3" s="1"/>
  <c r="BS21" i="3" s="1"/>
  <c r="BT21" i="3" s="1"/>
  <c r="BU21" i="3" s="1"/>
  <c r="BJ65" i="3"/>
  <c r="BV65" i="3" s="1"/>
  <c r="BR81" i="3"/>
  <c r="BR96" i="3"/>
  <c r="BR40" i="3"/>
  <c r="BY11" i="3"/>
  <c r="BK90" i="3"/>
  <c r="BL90" i="3" s="1"/>
  <c r="BO90" i="3" s="1"/>
  <c r="BJ27" i="3"/>
  <c r="BV27" i="3" s="1"/>
  <c r="BJ58" i="3"/>
  <c r="BV58" i="3" s="1"/>
  <c r="BK7" i="3"/>
  <c r="BL7" i="3" s="1"/>
  <c r="BO7" i="3" s="1"/>
  <c r="BS7" i="3" s="1"/>
  <c r="BT7" i="3" s="1"/>
  <c r="BU7" i="3" s="1"/>
  <c r="BL85" i="3"/>
  <c r="BO85" i="3" s="1"/>
  <c r="BY75" i="3"/>
  <c r="BK19" i="3"/>
  <c r="BL19" i="3" s="1"/>
  <c r="BO19" i="3" s="1"/>
  <c r="BL8" i="3"/>
  <c r="BO8" i="3" s="1"/>
  <c r="BL5" i="3"/>
  <c r="BO5" i="3" s="1"/>
  <c r="BR80" i="3"/>
  <c r="BS80" i="3" s="1"/>
  <c r="BT80" i="3" s="1"/>
  <c r="BU80" i="3" s="1"/>
  <c r="BY45" i="3"/>
  <c r="BZ66" i="3"/>
  <c r="CA66" i="3" s="1"/>
  <c r="BK31" i="3"/>
  <c r="BL31" i="3" s="1"/>
  <c r="BO31" i="3" s="1"/>
  <c r="BJ6" i="3"/>
  <c r="BV6" i="3" s="1"/>
  <c r="BJ39" i="3"/>
  <c r="BV39" i="3" s="1"/>
  <c r="BL9" i="3"/>
  <c r="BO9" i="3" s="1"/>
  <c r="BL30" i="3"/>
  <c r="BO30" i="3" s="1"/>
  <c r="BY32" i="3"/>
  <c r="BZ32" i="3" s="1"/>
  <c r="CA32" i="3" s="1"/>
  <c r="BY41" i="3"/>
  <c r="BZ41" i="3" s="1"/>
  <c r="CA41" i="3" s="1"/>
  <c r="BY49" i="3"/>
  <c r="BZ87" i="3"/>
  <c r="CA87" i="3" s="1"/>
  <c r="BR72" i="3"/>
  <c r="BR37" i="3"/>
  <c r="BR14" i="3"/>
  <c r="BS45" i="3"/>
  <c r="BT45" i="3" s="1"/>
  <c r="BU45" i="3" s="1"/>
  <c r="BL73" i="3"/>
  <c r="BO73" i="3" s="1"/>
  <c r="BY2" i="3"/>
  <c r="BJ45" i="3"/>
  <c r="BV45" i="3" s="1"/>
  <c r="BK43" i="3"/>
  <c r="BJ69" i="3"/>
  <c r="BV69" i="3" s="1"/>
  <c r="BZ69" i="3" s="1"/>
  <c r="CA69" i="3" s="1"/>
  <c r="BK63" i="3"/>
  <c r="BL63" i="3" s="1"/>
  <c r="BO63" i="3" s="1"/>
  <c r="BS63" i="3" s="1"/>
  <c r="BT63" i="3" s="1"/>
  <c r="BU63" i="3" s="1"/>
  <c r="BY61" i="3"/>
  <c r="BZ61" i="3" s="1"/>
  <c r="CA61" i="3" s="1"/>
  <c r="BR99" i="3"/>
  <c r="BR53" i="3"/>
  <c r="BY20" i="3"/>
  <c r="BY93" i="3"/>
  <c r="BY10" i="3"/>
  <c r="BK46" i="3"/>
  <c r="BL46" i="3" s="1"/>
  <c r="BO46" i="3" s="1"/>
  <c r="BK89" i="3"/>
  <c r="BL89" i="3" s="1"/>
  <c r="BO89" i="3" s="1"/>
  <c r="BL87" i="3"/>
  <c r="BO87" i="3" s="1"/>
  <c r="BR57" i="3"/>
  <c r="BR68" i="3"/>
  <c r="BS68" i="3" s="1"/>
  <c r="BT68" i="3" s="1"/>
  <c r="BU68" i="3" s="1"/>
  <c r="BY3" i="3"/>
  <c r="BZ3" i="3" s="1"/>
  <c r="CA3" i="3" s="1"/>
  <c r="BY15" i="3"/>
  <c r="BR44" i="3"/>
  <c r="BS44" i="3" s="1"/>
  <c r="BT44" i="3" s="1"/>
  <c r="BU44" i="3" s="1"/>
  <c r="BR51" i="3"/>
  <c r="BY5" i="3"/>
  <c r="BR8" i="3"/>
  <c r="BY40" i="3"/>
  <c r="BY65" i="3"/>
  <c r="BY22" i="3"/>
  <c r="BJ10" i="3"/>
  <c r="BV10" i="3" s="1"/>
  <c r="BZ10" i="3" s="1"/>
  <c r="CA10" i="3" s="1"/>
  <c r="BY28" i="3"/>
  <c r="BL99" i="3"/>
  <c r="BO99" i="3" s="1"/>
  <c r="BS99" i="3" s="1"/>
  <c r="BT99" i="3" s="1"/>
  <c r="BU99" i="3" s="1"/>
  <c r="BR28" i="3"/>
  <c r="BY78" i="3"/>
  <c r="BZ78" i="3" s="1"/>
  <c r="CA78" i="3" s="1"/>
  <c r="BJ73" i="3"/>
  <c r="BV73" i="3" s="1"/>
  <c r="BZ73" i="3" s="1"/>
  <c r="CA73" i="3" s="1"/>
  <c r="BJ30" i="3"/>
  <c r="BV30" i="3" s="1"/>
  <c r="BZ30" i="3" s="1"/>
  <c r="CA30" i="3" s="1"/>
  <c r="BJ22" i="3"/>
  <c r="BV22" i="3" s="1"/>
  <c r="BK79" i="3"/>
  <c r="BL82" i="3"/>
  <c r="BO82" i="3" s="1"/>
  <c r="BL68" i="3"/>
  <c r="BO68" i="3" s="1"/>
  <c r="BR35" i="3"/>
  <c r="BR52" i="3"/>
  <c r="BR34" i="3"/>
  <c r="BR100" i="3"/>
  <c r="BY46" i="3"/>
  <c r="BY89" i="3"/>
  <c r="BZ89" i="3" s="1"/>
  <c r="CA89" i="3" s="1"/>
  <c r="BY18" i="3"/>
  <c r="BZ18" i="3" s="1"/>
  <c r="CA18" i="3" s="1"/>
  <c r="BY91" i="3"/>
  <c r="BZ91" i="3" s="1"/>
  <c r="CA91" i="3" s="1"/>
  <c r="BJ20" i="3"/>
  <c r="BV20" i="3" s="1"/>
  <c r="BZ20" i="3" s="1"/>
  <c r="CA20" i="3" s="1"/>
  <c r="BL94" i="3"/>
  <c r="BO94" i="3" s="1"/>
  <c r="BR16" i="3"/>
  <c r="BY44" i="3"/>
  <c r="BR27" i="3"/>
  <c r="BS27" i="3" s="1"/>
  <c r="BT27" i="3" s="1"/>
  <c r="BU27" i="3" s="1"/>
  <c r="BR6" i="3"/>
  <c r="BS6" i="3" s="1"/>
  <c r="BT6" i="3" s="1"/>
  <c r="BU6" i="3" s="1"/>
  <c r="BY77" i="3"/>
  <c r="BZ77" i="3" s="1"/>
  <c r="CA77" i="3" s="1"/>
  <c r="BZ6" i="3"/>
  <c r="CA6" i="3" s="1"/>
  <c r="BR92" i="3"/>
  <c r="BS92" i="3" s="1"/>
  <c r="BT92" i="3" s="1"/>
  <c r="BU92" i="3" s="1"/>
  <c r="BY33" i="3"/>
  <c r="BJ5" i="3"/>
  <c r="BV5" i="3" s="1"/>
  <c r="BL93" i="3"/>
  <c r="BO93" i="3" s="1"/>
  <c r="BY76" i="3"/>
  <c r="BR90" i="3"/>
  <c r="BS90" i="3" s="1"/>
  <c r="BT90" i="3" s="1"/>
  <c r="BU90" i="3" s="1"/>
  <c r="BY83" i="3"/>
  <c r="BY67" i="3"/>
  <c r="BZ67" i="3" s="1"/>
  <c r="CA67" i="3" s="1"/>
  <c r="BY38" i="3"/>
  <c r="BZ38" i="3" s="1"/>
  <c r="CA38" i="3" s="1"/>
  <c r="BY94" i="3"/>
  <c r="BR55" i="3"/>
  <c r="BY56" i="3"/>
  <c r="BZ56" i="3" s="1"/>
  <c r="CA56" i="3" s="1"/>
  <c r="BY71" i="3"/>
  <c r="BZ54" i="3"/>
  <c r="CA54" i="3" s="1"/>
  <c r="BZ43" i="3"/>
  <c r="CA43" i="3" s="1"/>
  <c r="BR60" i="3"/>
  <c r="BR41" i="3"/>
  <c r="BL98" i="3"/>
  <c r="BO98" i="3" s="1"/>
  <c r="BR47" i="3"/>
  <c r="BJ54" i="3"/>
  <c r="BV54" i="3" s="1"/>
  <c r="BJ8" i="3"/>
  <c r="BV8" i="3" s="1"/>
  <c r="BR91" i="3"/>
  <c r="BR32" i="3"/>
  <c r="BR82" i="3"/>
  <c r="BJ2" i="3"/>
  <c r="BV2" i="3" s="1"/>
  <c r="BK81" i="3"/>
  <c r="BL81" i="3" s="1"/>
  <c r="BO81" i="3" s="1"/>
  <c r="BS81" i="3" s="1"/>
  <c r="BT81" i="3" s="1"/>
  <c r="BU81" i="3" s="1"/>
  <c r="BK18" i="3"/>
  <c r="BL18" i="3" s="1"/>
  <c r="BO18" i="3" s="1"/>
  <c r="BJ56" i="3"/>
  <c r="BV56" i="3" s="1"/>
  <c r="BL101" i="3"/>
  <c r="BO101" i="3" s="1"/>
  <c r="BR76" i="3"/>
  <c r="BR46" i="3"/>
  <c r="BY24" i="3"/>
  <c r="BR74" i="3"/>
  <c r="BR39" i="3"/>
  <c r="BS39" i="3" s="1"/>
  <c r="BT39" i="3" s="1"/>
  <c r="BU39" i="3" s="1"/>
  <c r="BR31" i="3"/>
  <c r="BS31" i="3" s="1"/>
  <c r="BT31" i="3" s="1"/>
  <c r="BU31" i="3" s="1"/>
  <c r="BR30" i="3"/>
  <c r="BS30" i="3" s="1"/>
  <c r="BT30" i="3" s="1"/>
  <c r="BU30" i="3" s="1"/>
  <c r="BY17" i="3"/>
  <c r="BZ17" i="3" s="1"/>
  <c r="CA17" i="3" s="1"/>
  <c r="BY13" i="3"/>
  <c r="BZ13" i="3" s="1"/>
  <c r="CA13" i="3" s="1"/>
  <c r="BJ37" i="3"/>
  <c r="BV37" i="3" s="1"/>
  <c r="BK37" i="3"/>
  <c r="BL37" i="3" s="1"/>
  <c r="BO37" i="3" s="1"/>
  <c r="BS37" i="3" s="1"/>
  <c r="BT37" i="3" s="1"/>
  <c r="BU37" i="3" s="1"/>
  <c r="BW39" i="3"/>
  <c r="BY39" i="3" s="1"/>
  <c r="BZ39" i="3" s="1"/>
  <c r="CA39" i="3" s="1"/>
  <c r="BZ47" i="3"/>
  <c r="CA47" i="3" s="1"/>
  <c r="BY7" i="3"/>
  <c r="BZ7" i="3" s="1"/>
  <c r="CA7" i="3" s="1"/>
  <c r="BL61" i="3"/>
  <c r="BO61" i="3" s="1"/>
  <c r="BL79" i="3"/>
  <c r="BO79" i="3" s="1"/>
  <c r="BS79" i="3" s="1"/>
  <c r="BT79" i="3" s="1"/>
  <c r="BU79" i="3" s="1"/>
  <c r="BY25" i="3"/>
  <c r="BZ25" i="3" s="1"/>
  <c r="CA25" i="3" s="1"/>
  <c r="BR61" i="3"/>
  <c r="BR29" i="3"/>
  <c r="BS29" i="3" s="1"/>
  <c r="BT29" i="3" s="1"/>
  <c r="BU29" i="3" s="1"/>
  <c r="BR98" i="3"/>
  <c r="BY14" i="3"/>
  <c r="BY80" i="3"/>
  <c r="BZ80" i="3" s="1"/>
  <c r="CA80" i="3" s="1"/>
  <c r="BY57" i="3"/>
  <c r="BZ34" i="3"/>
  <c r="CA34" i="3" s="1"/>
  <c r="BS50" i="3"/>
  <c r="BT50" i="3" s="1"/>
  <c r="BU50" i="3" s="1"/>
  <c r="BR58" i="3"/>
  <c r="BS58" i="3" s="1"/>
  <c r="BT58" i="3" s="1"/>
  <c r="BU58" i="3" s="1"/>
  <c r="BR75" i="3"/>
  <c r="BR85" i="3"/>
  <c r="BS85" i="3" s="1"/>
  <c r="BT85" i="3" s="1"/>
  <c r="BU85" i="3" s="1"/>
  <c r="BR62" i="3"/>
  <c r="BS62" i="3" s="1"/>
  <c r="BT62" i="3" s="1"/>
  <c r="BU62" i="3" s="1"/>
  <c r="BS3" i="3"/>
  <c r="BT3" i="3" s="1"/>
  <c r="BU3" i="3" s="1"/>
  <c r="BY12" i="3"/>
  <c r="BR15" i="3"/>
  <c r="BY64" i="3"/>
  <c r="BY79" i="3"/>
  <c r="BZ79" i="3" s="1"/>
  <c r="CA79" i="3" s="1"/>
  <c r="BY81" i="3"/>
  <c r="BZ81" i="3" s="1"/>
  <c r="CA81" i="3" s="1"/>
  <c r="BY27" i="3"/>
  <c r="BZ27" i="3" s="1"/>
  <c r="CA27" i="3" s="1"/>
  <c r="BW29" i="3"/>
  <c r="BY29" i="3"/>
  <c r="BR26" i="3"/>
  <c r="BS26" i="3" s="1"/>
  <c r="BT26" i="3" s="1"/>
  <c r="BU26" i="3" s="1"/>
  <c r="BO2" i="3"/>
  <c r="BK91" i="3"/>
  <c r="BL91" i="3" s="1"/>
  <c r="BO91" i="3" s="1"/>
  <c r="BS46" i="3"/>
  <c r="BT46" i="3" s="1"/>
  <c r="BU46" i="3" s="1"/>
  <c r="BR64" i="3"/>
  <c r="BJ82" i="3"/>
  <c r="BV82" i="3" s="1"/>
  <c r="BJ53" i="3"/>
  <c r="BV53" i="3" s="1"/>
  <c r="BK53" i="3"/>
  <c r="BL53" i="3" s="1"/>
  <c r="BO53" i="3" s="1"/>
  <c r="BJ33" i="3"/>
  <c r="BV33" i="3" s="1"/>
  <c r="BK33" i="3"/>
  <c r="BL33" i="3" s="1"/>
  <c r="BO33" i="3" s="1"/>
  <c r="BY36" i="3"/>
  <c r="BK32" i="3"/>
  <c r="BL32" i="3" s="1"/>
  <c r="BO32" i="3" s="1"/>
  <c r="BS32" i="3" s="1"/>
  <c r="BT32" i="3" s="1"/>
  <c r="BU32" i="3" s="1"/>
  <c r="BJ85" i="3"/>
  <c r="BV85" i="3" s="1"/>
  <c r="BJ44" i="3"/>
  <c r="BV44" i="3" s="1"/>
  <c r="BZ44" i="3" s="1"/>
  <c r="CA44" i="3" s="1"/>
  <c r="BJ86" i="3"/>
  <c r="BV86" i="3" s="1"/>
  <c r="BL43" i="3"/>
  <c r="BO43" i="3" s="1"/>
  <c r="BS43" i="3" s="1"/>
  <c r="BT43" i="3" s="1"/>
  <c r="BU43" i="3" s="1"/>
  <c r="BR5" i="3"/>
  <c r="BY48" i="3"/>
  <c r="BR19" i="3"/>
  <c r="BR54" i="3"/>
  <c r="BS54" i="3" s="1"/>
  <c r="BT54" i="3" s="1"/>
  <c r="BU54" i="3" s="1"/>
  <c r="BR42" i="3"/>
  <c r="BS42" i="3" s="1"/>
  <c r="BT42" i="3" s="1"/>
  <c r="BU42" i="3" s="1"/>
  <c r="BJ93" i="3"/>
  <c r="BV93" i="3" s="1"/>
  <c r="BZ93" i="3" s="1"/>
  <c r="CA93" i="3" s="1"/>
  <c r="BY84" i="3"/>
  <c r="BZ49" i="3"/>
  <c r="CA49" i="3" s="1"/>
  <c r="BK25" i="3"/>
  <c r="BL25" i="3" s="1"/>
  <c r="BO25" i="3" s="1"/>
  <c r="BS25" i="3" s="1"/>
  <c r="BT25" i="3" s="1"/>
  <c r="BU25" i="3" s="1"/>
  <c r="BK97" i="3"/>
  <c r="BL97" i="3" s="1"/>
  <c r="BO97" i="3" s="1"/>
  <c r="BJ29" i="3"/>
  <c r="BV29" i="3" s="1"/>
  <c r="BJ26" i="3"/>
  <c r="BV26" i="3" s="1"/>
  <c r="BR9" i="3"/>
  <c r="BS9" i="3" s="1"/>
  <c r="BT9" i="3" s="1"/>
  <c r="BU9" i="3" s="1"/>
  <c r="BY19" i="3"/>
  <c r="BZ19" i="3" s="1"/>
  <c r="CA19" i="3" s="1"/>
  <c r="BR23" i="3"/>
  <c r="BR97" i="3"/>
  <c r="BY74" i="3"/>
  <c r="BR67" i="3"/>
  <c r="BS67" i="3" s="1"/>
  <c r="BT67" i="3" s="1"/>
  <c r="BU67" i="3" s="1"/>
  <c r="BR65" i="3"/>
  <c r="BS65" i="3" s="1"/>
  <c r="BT65" i="3" s="1"/>
  <c r="BU65" i="3" s="1"/>
  <c r="BY96" i="3"/>
  <c r="BR38" i="3"/>
  <c r="BJ57" i="3"/>
  <c r="BV57" i="3" s="1"/>
  <c r="BK57" i="3"/>
  <c r="BL57" i="3" s="1"/>
  <c r="BO57" i="3" s="1"/>
  <c r="BS57" i="3" s="1"/>
  <c r="BT57" i="3" s="1"/>
  <c r="BU57" i="3" s="1"/>
  <c r="BR93" i="3"/>
  <c r="BS93" i="3" s="1"/>
  <c r="BT93" i="3" s="1"/>
  <c r="BU93" i="3" s="1"/>
  <c r="BR71" i="3"/>
  <c r="BR10" i="3"/>
  <c r="BS10" i="3" s="1"/>
  <c r="BT10" i="3" s="1"/>
  <c r="BU10" i="3" s="1"/>
  <c r="BR70" i="3"/>
  <c r="BS70" i="3" s="1"/>
  <c r="BT70" i="3" s="1"/>
  <c r="BU70" i="3" s="1"/>
  <c r="BR89" i="3"/>
  <c r="BS89" i="3" s="1"/>
  <c r="BT89" i="3" s="1"/>
  <c r="BU89" i="3" s="1"/>
  <c r="BY26" i="3"/>
  <c r="BZ26" i="3" s="1"/>
  <c r="CA26" i="3" s="1"/>
  <c r="BY98" i="3"/>
  <c r="BZ98" i="3" s="1"/>
  <c r="CA98" i="3" s="1"/>
  <c r="BS87" i="3"/>
  <c r="BT87" i="3" s="1"/>
  <c r="BU87" i="3" s="1"/>
  <c r="BY101" i="3"/>
  <c r="BZ101" i="3" s="1"/>
  <c r="CA101" i="3" s="1"/>
  <c r="BY9" i="3"/>
  <c r="BZ9" i="3" s="1"/>
  <c r="CA9" i="3" s="1"/>
  <c r="BY23" i="3"/>
  <c r="BY50" i="3"/>
  <c r="BZ50" i="3" s="1"/>
  <c r="CA50" i="3" s="1"/>
  <c r="BK34" i="3"/>
  <c r="BL34" i="3" s="1"/>
  <c r="BO34" i="3" s="1"/>
  <c r="BY58" i="3"/>
  <c r="BZ58" i="3" s="1"/>
  <c r="CA58" i="3" s="1"/>
  <c r="BR36" i="3"/>
  <c r="BY62" i="3"/>
  <c r="BZ62" i="3" s="1"/>
  <c r="CA62" i="3" s="1"/>
  <c r="BR17" i="3"/>
  <c r="BS17" i="3" s="1"/>
  <c r="BT17" i="3" s="1"/>
  <c r="BU17" i="3" s="1"/>
  <c r="BR18" i="3"/>
  <c r="BS18" i="3" s="1"/>
  <c r="BT18" i="3" s="1"/>
  <c r="BU18" i="3" s="1"/>
  <c r="BR56" i="3"/>
  <c r="BS56" i="3" s="1"/>
  <c r="BT56" i="3" s="1"/>
  <c r="BU56" i="3" s="1"/>
  <c r="BY100" i="3"/>
  <c r="BZ100" i="3" s="1"/>
  <c r="CA100" i="3" s="1"/>
  <c r="BY21" i="3"/>
  <c r="BZ21" i="3" s="1"/>
  <c r="CA21" i="3" s="1"/>
  <c r="BY51" i="3"/>
  <c r="BL20" i="3"/>
  <c r="BO20" i="3" s="1"/>
  <c r="BS20" i="3" s="1"/>
  <c r="BT20" i="3" s="1"/>
  <c r="BU20" i="3" s="1"/>
  <c r="BR24" i="3"/>
  <c r="BR101" i="3"/>
  <c r="BS101" i="3" s="1"/>
  <c r="BT101" i="3" s="1"/>
  <c r="BU101" i="3" s="1"/>
  <c r="BL42" i="3"/>
  <c r="BO42" i="3" s="1"/>
  <c r="BJ3" i="3"/>
  <c r="BV3" i="3" s="1"/>
  <c r="BJ94" i="3"/>
  <c r="BV94" i="3" s="1"/>
  <c r="BK55" i="3"/>
  <c r="BL55" i="3" s="1"/>
  <c r="BO55" i="3" s="1"/>
  <c r="BK38" i="3"/>
  <c r="BL38" i="3" s="1"/>
  <c r="BO38" i="3" s="1"/>
  <c r="BR33" i="3"/>
  <c r="BR22" i="3"/>
  <c r="BS22" i="3" s="1"/>
  <c r="BT22" i="3" s="1"/>
  <c r="BU22" i="3" s="1"/>
  <c r="BR94" i="3"/>
  <c r="BS94" i="3" s="1"/>
  <c r="BT94" i="3" s="1"/>
  <c r="BU94" i="3" s="1"/>
  <c r="BR84" i="3"/>
  <c r="BZ90" i="3"/>
  <c r="CA90" i="3" s="1"/>
  <c r="BR83" i="3"/>
  <c r="BR13" i="3"/>
  <c r="BS13" i="3" s="1"/>
  <c r="BT13" i="3" s="1"/>
  <c r="BU13" i="3" s="1"/>
  <c r="BR66" i="3"/>
  <c r="BS66" i="3" s="1"/>
  <c r="BT66" i="3" s="1"/>
  <c r="BU66" i="3" s="1"/>
  <c r="BY8" i="3"/>
  <c r="BZ8" i="3" s="1"/>
  <c r="CA8" i="3" s="1"/>
  <c r="BY70" i="3"/>
  <c r="BZ70" i="3" s="1"/>
  <c r="CA70" i="3" s="1"/>
  <c r="BY35" i="3"/>
  <c r="BS12" i="3"/>
  <c r="BT12" i="3" s="1"/>
  <c r="BU12" i="3" s="1"/>
  <c r="BW53" i="3"/>
  <c r="BY53" i="3" s="1"/>
  <c r="BZ53" i="3" s="1"/>
  <c r="CA53" i="3" s="1"/>
  <c r="BY37" i="3"/>
  <c r="BR73" i="3"/>
  <c r="BS73" i="3" s="1"/>
  <c r="BT73" i="3" s="1"/>
  <c r="BU73" i="3" s="1"/>
  <c r="BY97" i="3"/>
  <c r="BZ97" i="3" s="1"/>
  <c r="BZ63" i="3"/>
  <c r="CA63" i="3" s="1"/>
  <c r="BR2" i="3"/>
  <c r="BR59" i="3"/>
  <c r="BS59" i="3" s="1"/>
  <c r="BT59" i="3" s="1"/>
  <c r="BU59" i="3" s="1"/>
  <c r="BR4" i="3"/>
  <c r="BY99" i="3"/>
  <c r="BZ99" i="3" s="1"/>
  <c r="CA99" i="3" s="1"/>
  <c r="BL78" i="3"/>
  <c r="BO78" i="3" s="1"/>
  <c r="BJ68" i="3"/>
  <c r="BV68" i="3" s="1"/>
  <c r="BZ68" i="3" s="1"/>
  <c r="CA68" i="3" s="1"/>
  <c r="BK41" i="3"/>
  <c r="BL41" i="3" s="1"/>
  <c r="BO41" i="3" s="1"/>
  <c r="BS41" i="3" s="1"/>
  <c r="BT41" i="3" s="1"/>
  <c r="BU41" i="3" s="1"/>
  <c r="BR11" i="3"/>
  <c r="BR77" i="3"/>
  <c r="BS77" i="3" s="1"/>
  <c r="BT77" i="3" s="1"/>
  <c r="BU77" i="3" s="1"/>
  <c r="BY60" i="3"/>
  <c r="BY86" i="3"/>
  <c r="BY72" i="3"/>
  <c r="BZ72" i="3" s="1"/>
  <c r="CA72" i="3" s="1"/>
  <c r="BZ46" i="3"/>
  <c r="CA46" i="3" s="1"/>
  <c r="BR78" i="3"/>
  <c r="BY82" i="3"/>
  <c r="BZ82" i="3" s="1"/>
  <c r="CA82" i="3" s="1"/>
  <c r="BY59" i="3"/>
  <c r="BZ59" i="3" s="1"/>
  <c r="CA59" i="3" s="1"/>
  <c r="BY85" i="3"/>
  <c r="BZ85" i="3" s="1"/>
  <c r="CA85" i="3" s="1"/>
  <c r="BJ83" i="3"/>
  <c r="BV83" i="3" s="1"/>
  <c r="BZ83" i="3" s="1"/>
  <c r="CA83" i="3" s="1"/>
  <c r="BK83" i="3"/>
  <c r="BL83" i="3" s="1"/>
  <c r="BO83" i="3" s="1"/>
  <c r="BJ35" i="3"/>
  <c r="BV35" i="3" s="1"/>
  <c r="BK35" i="3"/>
  <c r="BL35" i="3" s="1"/>
  <c r="BO35" i="3" s="1"/>
  <c r="BS35" i="3" s="1"/>
  <c r="BT35" i="3" s="1"/>
  <c r="BU35" i="3" s="1"/>
  <c r="BJ47" i="3"/>
  <c r="BV47" i="3" s="1"/>
  <c r="BK47" i="3"/>
  <c r="BL47" i="3" s="1"/>
  <c r="BO47" i="3" s="1"/>
  <c r="BS47" i="3" s="1"/>
  <c r="BT47" i="3" s="1"/>
  <c r="BU47" i="3" s="1"/>
  <c r="BK52" i="3"/>
  <c r="BL52" i="3" s="1"/>
  <c r="BO52" i="3" s="1"/>
  <c r="BS52" i="3" s="1"/>
  <c r="BT52" i="3" s="1"/>
  <c r="BU52" i="3" s="1"/>
  <c r="BJ52" i="3"/>
  <c r="BV52" i="3" s="1"/>
  <c r="BZ52" i="3" s="1"/>
  <c r="CA52" i="3" s="1"/>
  <c r="BK15" i="3"/>
  <c r="BL15" i="3" s="1"/>
  <c r="BO15" i="3" s="1"/>
  <c r="BJ15" i="3"/>
  <c r="BV15" i="3" s="1"/>
  <c r="BK4" i="3"/>
  <c r="BL4" i="3" s="1"/>
  <c r="BO4" i="3" s="1"/>
  <c r="BJ4" i="3"/>
  <c r="BV4" i="3" s="1"/>
  <c r="BZ4" i="3" s="1"/>
  <c r="CA4" i="3" s="1"/>
  <c r="BK14" i="3"/>
  <c r="BL14" i="3" s="1"/>
  <c r="BO14" i="3" s="1"/>
  <c r="BS14" i="3" s="1"/>
  <c r="BT14" i="3" s="1"/>
  <c r="BU14" i="3" s="1"/>
  <c r="BJ14" i="3"/>
  <c r="BV14" i="3" s="1"/>
  <c r="BK16" i="3"/>
  <c r="BL16" i="3" s="1"/>
  <c r="BO16" i="3" s="1"/>
  <c r="BS16" i="3" s="1"/>
  <c r="BT16" i="3" s="1"/>
  <c r="BU16" i="3" s="1"/>
  <c r="BJ16" i="3"/>
  <c r="BV16" i="3" s="1"/>
  <c r="BZ16" i="3" s="1"/>
  <c r="CA16" i="3" s="1"/>
  <c r="BJ59" i="3"/>
  <c r="BV59" i="3" s="1"/>
  <c r="BK59" i="3"/>
  <c r="BL59" i="3" s="1"/>
  <c r="BO59" i="3" s="1"/>
  <c r="BK40" i="3"/>
  <c r="BL40" i="3" s="1"/>
  <c r="BO40" i="3" s="1"/>
  <c r="BS40" i="3" s="1"/>
  <c r="BT40" i="3" s="1"/>
  <c r="BU40" i="3" s="1"/>
  <c r="BJ40" i="3"/>
  <c r="BV40" i="3" s="1"/>
  <c r="BJ71" i="3"/>
  <c r="BV71" i="3" s="1"/>
  <c r="BK71" i="3"/>
  <c r="BL71" i="3" s="1"/>
  <c r="BO71" i="3" s="1"/>
  <c r="BJ95" i="3"/>
  <c r="BV95" i="3" s="1"/>
  <c r="BZ95" i="3" s="1"/>
  <c r="CA95" i="3" s="1"/>
  <c r="BK95" i="3"/>
  <c r="BL95" i="3" s="1"/>
  <c r="BO95" i="3" s="1"/>
  <c r="BS95" i="3" s="1"/>
  <c r="BT95" i="3" s="1"/>
  <c r="BU95" i="3" s="1"/>
  <c r="BK76" i="3"/>
  <c r="BL76" i="3" s="1"/>
  <c r="BO76" i="3" s="1"/>
  <c r="BS76" i="3" s="1"/>
  <c r="BT76" i="3" s="1"/>
  <c r="BU76" i="3" s="1"/>
  <c r="BJ76" i="3"/>
  <c r="BV76" i="3" s="1"/>
  <c r="BZ76" i="3" s="1"/>
  <c r="CA76" i="3" s="1"/>
  <c r="BK36" i="3"/>
  <c r="BL36" i="3" s="1"/>
  <c r="BO36" i="3" s="1"/>
  <c r="BJ36" i="3"/>
  <c r="BV36" i="3" s="1"/>
  <c r="BK96" i="3"/>
  <c r="BL96" i="3" s="1"/>
  <c r="BO96" i="3" s="1"/>
  <c r="BJ96" i="3"/>
  <c r="BV96" i="3" s="1"/>
  <c r="BK75" i="3"/>
  <c r="BL75" i="3" s="1"/>
  <c r="BO75" i="3" s="1"/>
  <c r="BJ75" i="3"/>
  <c r="BV75" i="3" s="1"/>
  <c r="BK100" i="3"/>
  <c r="BL100" i="3" s="1"/>
  <c r="BO100" i="3" s="1"/>
  <c r="BJ100" i="3"/>
  <c r="BV100" i="3" s="1"/>
  <c r="BJ11" i="3"/>
  <c r="BV11" i="3" s="1"/>
  <c r="BZ11" i="3" s="1"/>
  <c r="CA11" i="3" s="1"/>
  <c r="BK11" i="3"/>
  <c r="BL11" i="3" s="1"/>
  <c r="BO11" i="3" s="1"/>
  <c r="BK48" i="3"/>
  <c r="BL48" i="3" s="1"/>
  <c r="BO48" i="3" s="1"/>
  <c r="BS48" i="3" s="1"/>
  <c r="BT48" i="3" s="1"/>
  <c r="BU48" i="3" s="1"/>
  <c r="BJ48" i="3"/>
  <c r="BV48" i="3" s="1"/>
  <c r="BK72" i="3"/>
  <c r="BL72" i="3" s="1"/>
  <c r="BO72" i="3" s="1"/>
  <c r="BS72" i="3" s="1"/>
  <c r="BT72" i="3" s="1"/>
  <c r="BU72" i="3" s="1"/>
  <c r="BJ72" i="3"/>
  <c r="BV72" i="3" s="1"/>
  <c r="BK84" i="3"/>
  <c r="BL84" i="3" s="1"/>
  <c r="BO84" i="3" s="1"/>
  <c r="BJ84" i="3"/>
  <c r="BV84" i="3" s="1"/>
  <c r="BK28" i="3"/>
  <c r="BL28" i="3" s="1"/>
  <c r="BO28" i="3" s="1"/>
  <c r="BJ28" i="3"/>
  <c r="BV28" i="3" s="1"/>
  <c r="BK64" i="3"/>
  <c r="BL64" i="3" s="1"/>
  <c r="BO64" i="3" s="1"/>
  <c r="BJ64" i="3"/>
  <c r="BV64" i="3" s="1"/>
  <c r="BK51" i="3"/>
  <c r="BL51" i="3" s="1"/>
  <c r="BO51" i="3" s="1"/>
  <c r="BJ51" i="3"/>
  <c r="BV51" i="3" s="1"/>
  <c r="BK12" i="3"/>
  <c r="BL12" i="3" s="1"/>
  <c r="BO12" i="3" s="1"/>
  <c r="BJ12" i="3"/>
  <c r="BV12" i="3" s="1"/>
  <c r="BK88" i="3"/>
  <c r="BL88" i="3" s="1"/>
  <c r="BO88" i="3" s="1"/>
  <c r="BS88" i="3" s="1"/>
  <c r="BT88" i="3" s="1"/>
  <c r="BU88" i="3" s="1"/>
  <c r="BJ88" i="3"/>
  <c r="BV88" i="3" s="1"/>
  <c r="BZ88" i="3" s="1"/>
  <c r="CA88" i="3" s="1"/>
  <c r="BK24" i="3"/>
  <c r="BL24" i="3" s="1"/>
  <c r="BO24" i="3" s="1"/>
  <c r="BJ24" i="3"/>
  <c r="BV24" i="3" s="1"/>
  <c r="BZ24" i="3" s="1"/>
  <c r="CA24" i="3" s="1"/>
  <c r="BJ74" i="3"/>
  <c r="BV74" i="3" s="1"/>
  <c r="BK74" i="3"/>
  <c r="BL74" i="3" s="1"/>
  <c r="BO74" i="3" s="1"/>
  <c r="BJ23" i="3"/>
  <c r="BV23" i="3" s="1"/>
  <c r="BK23" i="3"/>
  <c r="BL23" i="3" s="1"/>
  <c r="BO23" i="3" s="1"/>
  <c r="BK60" i="3"/>
  <c r="BL60" i="3" s="1"/>
  <c r="BO60" i="3" s="1"/>
  <c r="BS60" i="3" s="1"/>
  <c r="BT60" i="3" s="1"/>
  <c r="BU60" i="3" s="1"/>
  <c r="BJ60" i="3"/>
  <c r="BV60" i="3" s="1"/>
  <c r="D13" i="1"/>
  <c r="D14" i="1" s="1"/>
  <c r="D15" i="1" s="1"/>
  <c r="N21" i="1" s="1"/>
  <c r="L13" i="1"/>
  <c r="L14" i="1" s="1"/>
  <c r="L15" i="1" s="1"/>
  <c r="N23" i="1" s="1"/>
  <c r="J13" i="1"/>
  <c r="J14" i="1" s="1"/>
  <c r="J15" i="1" s="1"/>
  <c r="H13" i="1"/>
  <c r="H14" i="1" s="1"/>
  <c r="H15" i="1" s="1"/>
  <c r="N22" i="1" s="1"/>
  <c r="B13" i="1"/>
  <c r="B14" i="1" s="1"/>
  <c r="B15" i="1" s="1"/>
  <c r="BZ2" i="3" l="1"/>
  <c r="CA2" i="3" s="1"/>
  <c r="N18" i="2"/>
  <c r="Q18" i="2" s="1"/>
  <c r="R17" i="2" s="1"/>
  <c r="Q13" i="2"/>
  <c r="AB11" i="2"/>
  <c r="AB10" i="2" s="1"/>
  <c r="Y11" i="2"/>
  <c r="Z11" i="2" s="1"/>
  <c r="F5" i="2"/>
  <c r="F27" i="2" s="1"/>
  <c r="E11" i="2"/>
  <c r="E10" i="2" s="1"/>
  <c r="D11" i="2"/>
  <c r="BS51" i="3"/>
  <c r="BT51" i="3" s="1"/>
  <c r="BU51" i="3" s="1"/>
  <c r="BZ35" i="3"/>
  <c r="CA35" i="3" s="1"/>
  <c r="BS53" i="3"/>
  <c r="BT53" i="3" s="1"/>
  <c r="BU53" i="3" s="1"/>
  <c r="BZ15" i="3"/>
  <c r="CA15" i="3" s="1"/>
  <c r="BS19" i="3"/>
  <c r="BT19" i="3" s="1"/>
  <c r="BU19" i="3" s="1"/>
  <c r="BS100" i="3"/>
  <c r="BT100" i="3" s="1"/>
  <c r="BU100" i="3" s="1"/>
  <c r="BZ71" i="3"/>
  <c r="CA71" i="3" s="1"/>
  <c r="BS74" i="3"/>
  <c r="BT74" i="3" s="1"/>
  <c r="BU74" i="3" s="1"/>
  <c r="BZ28" i="3"/>
  <c r="CA28" i="3" s="1"/>
  <c r="BZ75" i="3"/>
  <c r="CA75" i="3" s="1"/>
  <c r="BS5" i="3"/>
  <c r="BT5" i="3" s="1"/>
  <c r="BU5" i="3" s="1"/>
  <c r="BS34" i="3"/>
  <c r="BT34" i="3" s="1"/>
  <c r="BU34" i="3" s="1"/>
  <c r="BS82" i="3"/>
  <c r="BT82" i="3" s="1"/>
  <c r="BU82" i="3" s="1"/>
  <c r="BZ65" i="3"/>
  <c r="CA65" i="3" s="1"/>
  <c r="BS91" i="3"/>
  <c r="BT91" i="3" s="1"/>
  <c r="BU91" i="3" s="1"/>
  <c r="BZ92" i="3"/>
  <c r="CA92" i="3" s="1"/>
  <c r="BS96" i="3"/>
  <c r="BT96" i="3" s="1"/>
  <c r="BU96" i="3" s="1"/>
  <c r="BS8" i="3"/>
  <c r="BT8" i="3" s="1"/>
  <c r="BU8" i="3" s="1"/>
  <c r="BS84" i="3"/>
  <c r="BT84" i="3" s="1"/>
  <c r="BU84" i="3" s="1"/>
  <c r="BS38" i="3"/>
  <c r="BT38" i="3" s="1"/>
  <c r="BU38" i="3" s="1"/>
  <c r="BZ45" i="3"/>
  <c r="CA45" i="3" s="1"/>
  <c r="BZ5" i="3"/>
  <c r="CA5" i="3" s="1"/>
  <c r="BS78" i="3"/>
  <c r="BT78" i="3" s="1"/>
  <c r="BU78" i="3" s="1"/>
  <c r="BZ40" i="3"/>
  <c r="CA40" i="3" s="1"/>
  <c r="BS55" i="3"/>
  <c r="BT55" i="3" s="1"/>
  <c r="BU55" i="3" s="1"/>
  <c r="BS28" i="3"/>
  <c r="BT28" i="3" s="1"/>
  <c r="BU28" i="3" s="1"/>
  <c r="BZ94" i="3"/>
  <c r="CA94" i="3" s="1"/>
  <c r="BZ86" i="3"/>
  <c r="CA86" i="3" s="1"/>
  <c r="BZ33" i="3"/>
  <c r="CA33" i="3" s="1"/>
  <c r="BZ60" i="3"/>
  <c r="CA60" i="3" s="1"/>
  <c r="BZ48" i="3"/>
  <c r="CA48" i="3" s="1"/>
  <c r="BS11" i="3"/>
  <c r="BT11" i="3" s="1"/>
  <c r="BU11" i="3" s="1"/>
  <c r="BS98" i="3"/>
  <c r="BT98" i="3" s="1"/>
  <c r="BU98" i="3" s="1"/>
  <c r="BZ37" i="3"/>
  <c r="CA37" i="3" s="1"/>
  <c r="BZ23" i="3"/>
  <c r="CA23" i="3" s="1"/>
  <c r="BZ22" i="3"/>
  <c r="CA22" i="3" s="1"/>
  <c r="BZ51" i="3"/>
  <c r="CA51" i="3" s="1"/>
  <c r="BS61" i="3"/>
  <c r="BT61" i="3" s="1"/>
  <c r="BU61" i="3" s="1"/>
  <c r="BZ36" i="3"/>
  <c r="CA36" i="3" s="1"/>
  <c r="BS2" i="3"/>
  <c r="BT2" i="3" s="1"/>
  <c r="BU2" i="3" s="1"/>
  <c r="BS4" i="3"/>
  <c r="BT4" i="3" s="1"/>
  <c r="BU4" i="3" s="1"/>
  <c r="BS75" i="3"/>
  <c r="BT75" i="3" s="1"/>
  <c r="BU75" i="3" s="1"/>
  <c r="BS33" i="3"/>
  <c r="BT33" i="3" s="1"/>
  <c r="BU33" i="3" s="1"/>
  <c r="BZ57" i="3"/>
  <c r="CA57" i="3" s="1"/>
  <c r="BS36" i="3"/>
  <c r="BT36" i="3" s="1"/>
  <c r="BU36" i="3" s="1"/>
  <c r="BZ64" i="3"/>
  <c r="CA64" i="3" s="1"/>
  <c r="BZ74" i="3"/>
  <c r="CA74" i="3" s="1"/>
  <c r="BS64" i="3"/>
  <c r="BT64" i="3" s="1"/>
  <c r="BU64" i="3" s="1"/>
  <c r="BS15" i="3"/>
  <c r="BT15" i="3" s="1"/>
  <c r="BU15" i="3" s="1"/>
  <c r="BZ14" i="3"/>
  <c r="CA14" i="3" s="1"/>
  <c r="BS83" i="3"/>
  <c r="BT83" i="3" s="1"/>
  <c r="BU83" i="3" s="1"/>
  <c r="BS97" i="3"/>
  <c r="BT97" i="3" s="1"/>
  <c r="BU97" i="3" s="1"/>
  <c r="BZ84" i="3"/>
  <c r="CA84" i="3" s="1"/>
  <c r="BZ12" i="3"/>
  <c r="CA12" i="3" s="1"/>
  <c r="BZ29" i="3"/>
  <c r="CA29" i="3" s="1"/>
  <c r="BZ96" i="3"/>
  <c r="CA96" i="3" s="1"/>
  <c r="BS24" i="3"/>
  <c r="BT24" i="3" s="1"/>
  <c r="BU24" i="3" s="1"/>
  <c r="BS71" i="3"/>
  <c r="BT71" i="3" s="1"/>
  <c r="BU71" i="3" s="1"/>
  <c r="BS23" i="3"/>
  <c r="BT23" i="3" s="1"/>
  <c r="BU23" i="3" s="1"/>
  <c r="S13" i="2" l="1"/>
  <c r="Q12" i="2" s="1"/>
  <c r="S3" i="2" s="1"/>
  <c r="R13" i="2"/>
  <c r="G10" i="2"/>
  <c r="C10" i="2" s="1"/>
  <c r="D10" i="2" s="1"/>
  <c r="E9" i="2"/>
  <c r="G11" i="2"/>
  <c r="E3" i="2"/>
  <c r="AB9" i="2"/>
  <c r="X10" i="2"/>
  <c r="Y10" i="2" s="1"/>
  <c r="Z10" i="2" s="1"/>
  <c r="T13" i="2" l="1"/>
  <c r="V13" i="2" s="1"/>
  <c r="N12" i="2"/>
  <c r="R12" i="2"/>
  <c r="X9" i="2"/>
  <c r="AB5" i="2"/>
  <c r="AB27" i="2" s="1"/>
  <c r="D3" i="2"/>
  <c r="G3" i="2"/>
  <c r="G9" i="2"/>
  <c r="E5" i="2"/>
  <c r="E27" i="2" s="1"/>
  <c r="Y9" i="2" l="1"/>
  <c r="X5" i="2"/>
  <c r="X27" i="2" s="1"/>
  <c r="R5" i="2"/>
  <c r="T12" i="2"/>
  <c r="V12" i="2" s="1"/>
  <c r="N5" i="2"/>
  <c r="M12" i="2"/>
  <c r="U3" i="2"/>
  <c r="S17" i="2"/>
  <c r="S5" i="2"/>
  <c r="S27" i="2" s="1"/>
  <c r="T3" i="2"/>
  <c r="G5" i="2"/>
  <c r="G27" i="2" s="1"/>
  <c r="V3" i="2" l="1"/>
  <c r="T17" i="2"/>
  <c r="U17" i="2"/>
  <c r="U5" i="2" s="1"/>
  <c r="U27" i="2" s="1"/>
  <c r="N27" i="2"/>
  <c r="Q5" i="2"/>
  <c r="Q27" i="2" s="1"/>
  <c r="M5" i="2"/>
  <c r="M27" i="2" s="1"/>
  <c r="T5" i="2"/>
  <c r="R27" i="2"/>
  <c r="Z9" i="2"/>
  <c r="Z5" i="2" s="1"/>
  <c r="Y5" i="2"/>
  <c r="Y27" i="2" s="1"/>
  <c r="D9" i="2"/>
  <c r="D5" i="2" s="1"/>
  <c r="D27" i="2" s="1"/>
  <c r="C5" i="2"/>
  <c r="C27" i="2" s="1"/>
  <c r="Z3" i="2" l="1"/>
  <c r="Z27" i="2"/>
  <c r="T27" i="2"/>
  <c r="V5" i="2"/>
  <c r="V17" i="2"/>
  <c r="V27" i="2" l="1"/>
  <c r="X3" i="2"/>
  <c r="AB3" i="2"/>
  <c r="Y3" i="2"/>
  <c r="AF13" i="2" l="1"/>
  <c r="AI13" i="2" s="1"/>
  <c r="AJ13" i="2" s="1"/>
  <c r="AJ12" i="2" l="1"/>
  <c r="AJ5" i="2" s="1"/>
  <c r="AK17" i="2"/>
  <c r="AL13" i="2"/>
  <c r="AK5" i="2" l="1"/>
  <c r="AK27" i="2" s="1"/>
  <c r="AJ27" i="2"/>
  <c r="AL5" i="2"/>
  <c r="AL17" i="2"/>
  <c r="AM17" i="2"/>
  <c r="AI12" i="2"/>
  <c r="AF12" i="2" s="1"/>
  <c r="AL12" i="2"/>
  <c r="AN12" i="2" s="1"/>
  <c r="AM5" i="2" l="1"/>
  <c r="AM27" i="2" s="1"/>
  <c r="AM3" i="2"/>
  <c r="AK3" i="2" s="1"/>
  <c r="AJ3" i="2" s="1"/>
  <c r="AL27" i="2"/>
  <c r="AN17" i="2"/>
  <c r="AN5" i="2" s="1"/>
  <c r="AL3" i="2" l="1"/>
  <c r="AN3" i="2" s="1"/>
  <c r="AF3" i="2" s="1"/>
  <c r="AI3" i="2" s="1"/>
  <c r="AF5" i="2"/>
  <c r="AN27" i="2"/>
  <c r="AI5" i="2" l="1"/>
  <c r="AI27" i="2" s="1"/>
  <c r="AF27" i="2"/>
</calcChain>
</file>

<file path=xl/sharedStrings.xml><?xml version="1.0" encoding="utf-8"?>
<sst xmlns="http://schemas.openxmlformats.org/spreadsheetml/2006/main" count="336" uniqueCount="187">
  <si>
    <t>Chemical</t>
  </si>
  <si>
    <t>KIO3</t>
  </si>
  <si>
    <t>+</t>
  </si>
  <si>
    <t>NaI</t>
  </si>
  <si>
    <t>HClO4</t>
  </si>
  <si>
    <t>=</t>
  </si>
  <si>
    <t>H2O</t>
  </si>
  <si>
    <t>Conc (mM):</t>
  </si>
  <si>
    <t>Stoich:</t>
  </si>
  <si>
    <t>x excess:</t>
  </si>
  <si>
    <t>Vol of solution</t>
  </si>
  <si>
    <t>L</t>
    <phoneticPr fontId="0" type="noConversion"/>
  </si>
  <si>
    <t>conc (M):</t>
  </si>
  <si>
    <t>NaI3</t>
  </si>
  <si>
    <t>Mols Water Init --&gt;</t>
  </si>
  <si>
    <t>I (mol):</t>
  </si>
  <si>
    <t>F (mol):</t>
  </si>
  <si>
    <t>delta (mol):</t>
  </si>
  <si>
    <t>F Conc (M)</t>
  </si>
  <si>
    <t>H2[PtCl_6]</t>
  </si>
  <si>
    <t>Water generated is negligible relative to vol--&gt; can assume constant volume</t>
  </si>
  <si>
    <t>Oxidant Feed Tank Composition</t>
  </si>
  <si>
    <t>Conc [M]</t>
  </si>
  <si>
    <t>Assume K is analogous with Na</t>
  </si>
  <si>
    <t>NaIO3 should really be KIO3, but we will use Na as a placeholder for all cations, so K4[Fe(CN)_6] will be assumed to be Na4[Fe(CN)_6]</t>
  </si>
  <si>
    <t>NaIO3</t>
  </si>
  <si>
    <t>NaClO4</t>
  </si>
  <si>
    <t>HCl</t>
  </si>
  <si>
    <t>NaCl</t>
  </si>
  <si>
    <t>Description</t>
  </si>
  <si>
    <t>Chloroplatinic Acid in OG Leachate Feed</t>
  </si>
  <si>
    <t>Chloropalladic Acid in OG Leachate Feed</t>
  </si>
  <si>
    <t>Chlororhodic Acid in OG Leachate Feed</t>
  </si>
  <si>
    <t>Will Likely Be in Feed Leachate. Inert in eLLE</t>
  </si>
  <si>
    <t>Na2[PdCl_4]</t>
  </si>
  <si>
    <t>Na3[RhCl_6]</t>
  </si>
  <si>
    <t>Will Likely Be in Feed Leachate. Also in aqueous reduction loop. Inert in eLLE</t>
  </si>
  <si>
    <t>Enters in Aqueous Oxidant Loop</t>
  </si>
  <si>
    <t>S1 Stages</t>
  </si>
  <si>
    <t>S1 C_Pt_in [M]</t>
  </si>
  <si>
    <t>S1 C_Pd_in [M]</t>
  </si>
  <si>
    <t>S1 C_Rh_in [M]</t>
  </si>
  <si>
    <t>S1 q_Pt_in [mol PGM/mol ligand]</t>
  </si>
  <si>
    <t>S1 q_Pd_in [mol PGM/mol ligand]</t>
  </si>
  <si>
    <t>S1 q_Rh_in [mol PGM/mol ligand]</t>
  </si>
  <si>
    <t>S1 C_Pt_out [M]</t>
  </si>
  <si>
    <t>S1 C_Pd_out [M]</t>
  </si>
  <si>
    <t>S1 C_Rh_out [M]</t>
  </si>
  <si>
    <t>S1 q_Pt_out [mol PGM/mol ligand]</t>
  </si>
  <si>
    <t>S1 q_Pd_out [mol PGM/mol ligand]</t>
  </si>
  <si>
    <t>S1 q_Rh_out [mol PGM/mol ligand]</t>
  </si>
  <si>
    <t>S1 Ligand</t>
  </si>
  <si>
    <t>ddFc</t>
  </si>
  <si>
    <t>S2 Stages</t>
  </si>
  <si>
    <t>S2 C_Pt_in [M]</t>
  </si>
  <si>
    <t>S2 C_Pd_in [M]</t>
  </si>
  <si>
    <t>S2 C_Rh_in [M]</t>
  </si>
  <si>
    <t>S2 q_Pt_in [mol PGM/mol ligand]</t>
  </si>
  <si>
    <t>S2 q_Pd_in [mol PGM/mol ligand]</t>
  </si>
  <si>
    <t>S2 q_Rh_in [mol PGM/mol ligand]</t>
  </si>
  <si>
    <t>S2 C_Pt_out [M]</t>
  </si>
  <si>
    <t>S2 C_Pd_out [M]</t>
  </si>
  <si>
    <t>S2 C_Rh_out [M]</t>
  </si>
  <si>
    <t>S2 q_Pt_out [mol PGM/mol ligand]</t>
  </si>
  <si>
    <t>S2 q_Pd_out [mol PGM/mol ligand]</t>
  </si>
  <si>
    <t>S2 q_Rh_out [mol PGM/mol ligand]</t>
  </si>
  <si>
    <t>S1 Q_aq Costing [L/min]</t>
  </si>
  <si>
    <t>S1 Q_org Costing [L/min]</t>
  </si>
  <si>
    <t>S2 Q_aq Costing [L/min]</t>
  </si>
  <si>
    <t>S2 Q_org Costing [L/min]</t>
  </si>
  <si>
    <t>S1 C_lig [L/time]</t>
  </si>
  <si>
    <t>S2 C_lig [L/time]</t>
  </si>
  <si>
    <t>ddFc Total Flow Recycle [mol/min]</t>
  </si>
  <si>
    <t>coeFc Total Flow Recycle [mol/min]</t>
  </si>
  <si>
    <t>ddFc+ClO4- Flow In S1 [mol/min]</t>
  </si>
  <si>
    <t>ddFc+MCl- Flow Out S1 Org [mol/min]</t>
  </si>
  <si>
    <t>ddFc+ClO4- Flow Out S1 Org [mol/min]</t>
  </si>
  <si>
    <t>ClO4- Flow Out S1 Aq [mol/min]</t>
  </si>
  <si>
    <t>H2PtCl6 Flow Out Aq S1 [mol/min]</t>
  </si>
  <si>
    <t>Na2PdCl4 Flow Out Aq S1 [mol/min]</t>
  </si>
  <si>
    <t>Na3RhCl6 Flow Out Aq S1 [mol/min]</t>
  </si>
  <si>
    <t>NaCl Feed S1 [mol/min]</t>
  </si>
  <si>
    <t>ddFcClO4</t>
  </si>
  <si>
    <t>I (mol/min)</t>
  </si>
  <si>
    <t>delta (mol/min)</t>
  </si>
  <si>
    <t>F (mol/min)</t>
  </si>
  <si>
    <t>assume ddFc of 1.89 mol/min (3 stages S1)</t>
  </si>
  <si>
    <t>coeFc+ClO4- Flow In S2 [mol/min]</t>
  </si>
  <si>
    <t>H2PtCl6 Flow In Aq S1 [mol/min]</t>
  </si>
  <si>
    <t>Na2PdCl4 Flow in Aq S1 [mol/min]</t>
  </si>
  <si>
    <t>Na3RhCl6 Flow In Aq S1 [mol/min]</t>
  </si>
  <si>
    <t>(ddFc+)2PtCl6 Flow Out S1 Org [mol/min]</t>
  </si>
  <si>
    <t>(ddFc+)2PdCl4 Flow Out S1 Org [mol/min]</t>
  </si>
  <si>
    <t>(ddFc+)3RhCl6 Flow Out S1 Org [mol/min]</t>
  </si>
  <si>
    <t>Na2PtCl6 Flow Out Aq S2 [mol/min]</t>
  </si>
  <si>
    <t>Na2PdCl4 Flow Out Aq S2 [mol/min]</t>
  </si>
  <si>
    <t>Na3RhCl6 Flow Out Aq S2 [mol/min]</t>
  </si>
  <si>
    <t>Pt (impure) out EW1 [mol/min]</t>
  </si>
  <si>
    <t>Mol Purity Pt Recov EW1 [%]</t>
  </si>
  <si>
    <t>Cl2 out EW1 [mol/min]</t>
  </si>
  <si>
    <t>delta NaCl Out EW1</t>
  </si>
  <si>
    <t>coeFc+MCl- Flow Out S2 Org [mol/min]</t>
  </si>
  <si>
    <t>coeFc+ClO4- Flow Out S2 Org [mol/min]</t>
  </si>
  <si>
    <t>delta Na+ClO4- Flow Out S2 Aq [mol/min]</t>
  </si>
  <si>
    <t>(coeFc+)2PtCl6 Flow Out S2 Org [mol/min]</t>
  </si>
  <si>
    <t>(coeFc+)2PdCl4 Flow Out S2 Org [mol/min]</t>
  </si>
  <si>
    <t>(coeFc+)3RhCl6 Flow Out S2 Org [mol/min]</t>
  </si>
  <si>
    <t>ClO4-</t>
  </si>
  <si>
    <t>ClO4- entering first Reduction Loop Total [mol/min]</t>
  </si>
  <si>
    <t>Cl2 out EW2 [mol/min]</t>
  </si>
  <si>
    <t>delta NaCl Out EW2 [mol/min]</t>
  </si>
  <si>
    <t>Chemicals In Process</t>
  </si>
  <si>
    <t>Na+</t>
  </si>
  <si>
    <t>H+</t>
  </si>
  <si>
    <t>I-</t>
  </si>
  <si>
    <t>IO3-</t>
  </si>
  <si>
    <t>I3-</t>
  </si>
  <si>
    <t>[PtCl6]2-</t>
  </si>
  <si>
    <t>[PdCl4]2-</t>
  </si>
  <si>
    <t>[RhCl6]3-</t>
  </si>
  <si>
    <t>Cl-</t>
  </si>
  <si>
    <t>ddFc+</t>
  </si>
  <si>
    <t>coeFc+</t>
  </si>
  <si>
    <t>coeFc</t>
  </si>
  <si>
    <t>ClO4- purge first Reduction Loop Total [mol/min]</t>
  </si>
  <si>
    <t>Cl- purge first Reduction Loop Total [mol/min]</t>
  </si>
  <si>
    <t>[Fe(CN)6]4- purge first Reduction Loop Total [mol/min]</t>
  </si>
  <si>
    <t>ClO4- Directly After EW1 and after S2 Aq [mol/min]</t>
  </si>
  <si>
    <t>ClO4- Directly Before S2 Aq [mol/min]</t>
  </si>
  <si>
    <t>Cl- Entering Red1 [mol/min]</t>
  </si>
  <si>
    <t>ClO4- Entering Red1 [mol/min]</t>
  </si>
  <si>
    <t>ClO4- purge second Reduction Loop Total [mol/min]</t>
  </si>
  <si>
    <t>Cl- purge second Reduction Loop Total [mol/min]</t>
  </si>
  <si>
    <t>Cl- Entering Red2 [mol/min]</t>
  </si>
  <si>
    <t>[Fe(CN)6]4- purge second Reduction Loop Total [mol/min]</t>
  </si>
  <si>
    <t>ClO4- After EW2 and Red2 [mol/min]</t>
  </si>
  <si>
    <t>Stream Index:</t>
  </si>
  <si>
    <t>Description:</t>
  </si>
  <si>
    <t>Vol Flow [L/min]</t>
  </si>
  <si>
    <t>[Fe(CN)6]4-</t>
  </si>
  <si>
    <t>[Fe(CN)6]3-</t>
  </si>
  <si>
    <t>DCM</t>
  </si>
  <si>
    <t>Pt</t>
  </si>
  <si>
    <t>Pd</t>
  </si>
  <si>
    <t>Rh</t>
  </si>
  <si>
    <t>Cl2</t>
  </si>
  <si>
    <t>Material Flows [mol/min]</t>
  </si>
  <si>
    <t>Sum Of Charges</t>
  </si>
  <si>
    <t>Purge Red Loop 2</t>
  </si>
  <si>
    <t>Feed Leachate</t>
  </si>
  <si>
    <t>Raffinate Leachate</t>
  </si>
  <si>
    <t>Exit Aq S2</t>
  </si>
  <si>
    <t>Cl2 Purge 1</t>
  </si>
  <si>
    <t>Pt 95 Mol% Purity</t>
  </si>
  <si>
    <t>EW1 Exit Aq</t>
  </si>
  <si>
    <t>EYZ1 Cathode Exit</t>
  </si>
  <si>
    <t>Aq Purge Red Loop 1</t>
  </si>
  <si>
    <t>OX1 Aq Feed</t>
  </si>
  <si>
    <t>OX1 Aq Exit</t>
  </si>
  <si>
    <t>EYZ1 Anode Exit</t>
  </si>
  <si>
    <t>Purge Ox Loop 1</t>
  </si>
  <si>
    <t>Recycle Mixed With Fresh Feed Chlorate Ox Loop 1</t>
  </si>
  <si>
    <t>OX1 Org Exit</t>
  </si>
  <si>
    <t>S1 Org Exit</t>
  </si>
  <si>
    <t>ddFc Recycle</t>
  </si>
  <si>
    <t>Recycle Mixed With Fresh Feed Ferrocyanide Red Loop 1</t>
  </si>
  <si>
    <t>Fresh Feed Ferrocyanide Red Loop 1</t>
  </si>
  <si>
    <t>Exit Aq RED1</t>
  </si>
  <si>
    <t>RED1 Aq Feed</t>
  </si>
  <si>
    <t>Fresh Feed Chlorate Mix Ox Loop 1</t>
  </si>
  <si>
    <t>Fresh Feed Chlorate Mix Ox Loop 2</t>
  </si>
  <si>
    <t>OX2 Aq Feed</t>
  </si>
  <si>
    <t>OX2 Aq Exit</t>
  </si>
  <si>
    <t>EYZ2 Anode Exit</t>
  </si>
  <si>
    <t>Recycle Mixed With Fresh Feed Chlorate Ox Loop 2</t>
  </si>
  <si>
    <t>S2 Org Exit</t>
  </si>
  <si>
    <t>coeFc Recycle</t>
  </si>
  <si>
    <t>RED2 Aq Exit</t>
  </si>
  <si>
    <t>Pd 95 Mol% Purity</t>
  </si>
  <si>
    <t>Cl2 Purge 2</t>
  </si>
  <si>
    <t>EW2 Exit Aq</t>
  </si>
  <si>
    <t>EYZ2 Cathode Exit</t>
  </si>
  <si>
    <t>Recycle Mixed With Fresh Feed Ferrocyanide Red Loop 2</t>
  </si>
  <si>
    <t>Fresh Feed Ferrocyanide Red Loop 2</t>
  </si>
  <si>
    <t>RED2 Aq Feed</t>
  </si>
  <si>
    <t>Cost For 100 L of Feed Solution [$]</t>
  </si>
  <si>
    <t>Cost Ox Fresh Feed [$/L]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</si>
</sst>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/>
    <xf numFmtId="0" fontId="1" fillId="0" borderId="0" xfId="0" applyFont="1"/>
    <xf numFmtId="11" fontId="0" fillId="0" borderId="0" xfId="0" applyNumberFormat="1"/>
    <xf numFmtId="11" fontId="0" fillId="2" borderId="0" xfId="0" applyNumberFormat="1" applyFill="1"/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1" fillId="3" borderId="0" xfId="0" applyFont="1" applyFill="1"/>
    <xf numFmtId="0" fontId="0" fillId="3" borderId="0" xfId="0" applyFill="1"/>
    <xf numFmtId="0" fontId="0" fillId="0" borderId="0" xfId="0" quotePrefix="1"/>
    <xf numFmtId="0" fontId="4" fillId="0" borderId="0" xfId="1"/>
    <xf numFmtId="0" fontId="1" fillId="0" borderId="0" xfId="1" applyFont="1"/>
    <xf numFmtId="0" fontId="0" fillId="0" borderId="0" xfId="0" applyNumberFormat="1"/>
  </cellXfs>
  <cellStyles count="2">
    <cellStyle name="Normal" xfId="0" builtinId="0"/>
    <cellStyle name="Normal 2" xfId="1" xr:uid="{AC74229E-9645-4978-960E-7DE5A2AE44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19</xdr:col>
      <xdr:colOff>179991</xdr:colOff>
      <xdr:row>5</xdr:row>
      <xdr:rowOff>11538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FE23CF-DE90-0985-0602-499B99AE0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190500"/>
          <a:ext cx="6601746" cy="771633"/>
        </a:xfrm>
        <a:prstGeom prst="rect">
          <a:avLst/>
        </a:prstGeom>
      </xdr:spPr>
    </xdr:pic>
    <xdr:clientData/>
  </xdr:twoCellAnchor>
  <xdr:twoCellAnchor editAs="oneCell">
    <xdr:from>
      <xdr:col>17</xdr:col>
      <xdr:colOff>419100</xdr:colOff>
      <xdr:row>13</xdr:row>
      <xdr:rowOff>47625</xdr:rowOff>
    </xdr:from>
    <xdr:to>
      <xdr:col>25</xdr:col>
      <xdr:colOff>180865</xdr:colOff>
      <xdr:row>43</xdr:row>
      <xdr:rowOff>112596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A74F78-DF87-B205-7DB2-4F3F18C1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63575" y="2524125"/>
          <a:ext cx="4640470" cy="577997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30</xdr:row>
      <xdr:rowOff>0</xdr:rowOff>
    </xdr:from>
    <xdr:to>
      <xdr:col>13</xdr:col>
      <xdr:colOff>598171</xdr:colOff>
      <xdr:row>36</xdr:row>
      <xdr:rowOff>105366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DEEEB56F-1B01-74EE-1A88-8D2CB91D8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5429250"/>
          <a:ext cx="11106150" cy="12483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12</xdr:col>
      <xdr:colOff>315305</xdr:colOff>
      <xdr:row>46</xdr:row>
      <xdr:rowOff>143981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AEF55B-3678-FA27-F0C2-28236BEFE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42925"/>
          <a:ext cx="7020905" cy="792590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304800</xdr:colOff>
      <xdr:row>13</xdr:row>
      <xdr:rowOff>114300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3D0D6BB9-F426-3A45-2FBD-E66C4367D07E}"/>
            </a:ext>
          </a:extLst>
        </xdr:cNvPr>
        <xdr:cNvSpPr>
          <a:spLocks noChangeAspect="1" noChangeArrowheads="1"/>
        </xdr:cNvSpPr>
      </xdr:nvSpPr>
      <xdr:spPr bwMode="auto">
        <a:xfrm>
          <a:off x="853440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561975</xdr:colOff>
      <xdr:row>5</xdr:row>
      <xdr:rowOff>104775</xdr:rowOff>
    </xdr:from>
    <xdr:to>
      <xdr:col>23</xdr:col>
      <xdr:colOff>200825</xdr:colOff>
      <xdr:row>42</xdr:row>
      <xdr:rowOff>29548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3F77AE-ED68-55AC-1186-04F8649DC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86775" y="1057275"/>
          <a:ext cx="5734850" cy="697327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texas-my.sharepoint.com/personal/avs932_eid_utexas_edu/Documents/Attachments/eLLE%20TEA_KHE_Revised.xlsx" TargetMode="External"/><Relationship Id="rId1" Type="http://schemas.openxmlformats.org/officeDocument/2006/relationships/externalLinkPath" Target="https://utexas-my.sharepoint.com/personal/avs932_eid_utexas_edu/Documents/Attachments/eLLE%20TEA_KHE_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gand cost"/>
      <sheetName val="Reagent cost"/>
      <sheetName val="Oxidant Feed Composition"/>
      <sheetName val="PGM market prices"/>
      <sheetName val="CAPEX+OPEX"/>
      <sheetName val="Sheet2"/>
      <sheetName val="Costing 100 Lmin Feed Orig"/>
      <sheetName val="TEA Revised Non EYZ"/>
      <sheetName val="Non EYZ +50%"/>
      <sheetName val="Non EYZ -50%"/>
      <sheetName val="eLLE Bals"/>
      <sheetName val="TEA Revised EYZ Inc"/>
      <sheetName val="EYZ Inc +50%"/>
      <sheetName val="EYZ Inc -50%"/>
      <sheetName val="TEA Non EYZ Sort"/>
      <sheetName val="TEA EYZ Inc Sort"/>
    </sheetNames>
    <sheetDataSet>
      <sheetData sheetId="0"/>
      <sheetData sheetId="1">
        <row r="14">
          <cell r="C14">
            <v>100.46</v>
          </cell>
        </row>
        <row r="34">
          <cell r="C34">
            <v>2.1400100000000002</v>
          </cell>
        </row>
        <row r="35">
          <cell r="C35">
            <v>0.59957680000000002</v>
          </cell>
        </row>
        <row r="36">
          <cell r="C36">
            <v>70.62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A63AD-3AE6-4249-926A-2DB74F686F51}">
  <dimension ref="A1:N48"/>
  <sheetViews>
    <sheetView zoomScale="85" zoomScaleNormal="85" workbookViewId="0">
      <selection activeCell="G30" sqref="G30"/>
    </sheetView>
  </sheetViews>
  <sheetFormatPr defaultRowHeight="15" x14ac:dyDescent="0.25"/>
  <cols>
    <col min="1" max="1" width="25.85546875" bestFit="1" customWidth="1"/>
    <col min="7" max="7" width="17.140625" customWidth="1"/>
    <col min="12" max="12" width="16" customWidth="1"/>
    <col min="13" max="13" width="16.28515625" customWidth="1"/>
  </cols>
  <sheetData>
    <row r="1" spans="1:14" x14ac:dyDescent="0.25">
      <c r="A1" t="s">
        <v>0</v>
      </c>
    </row>
    <row r="3" spans="1:14" x14ac:dyDescent="0.25">
      <c r="D3" s="2" t="s">
        <v>10</v>
      </c>
      <c r="E3" s="3">
        <v>100</v>
      </c>
      <c r="F3" t="s">
        <v>11</v>
      </c>
      <c r="G3" t="s">
        <v>14</v>
      </c>
      <c r="H3">
        <v>5550.84</v>
      </c>
    </row>
    <row r="5" spans="1:14" x14ac:dyDescent="0.25">
      <c r="D5" t="s">
        <v>20</v>
      </c>
    </row>
    <row r="7" spans="1:14" x14ac:dyDescent="0.25">
      <c r="A7" t="s">
        <v>9</v>
      </c>
      <c r="B7">
        <v>1.2</v>
      </c>
      <c r="D7">
        <v>2.25</v>
      </c>
    </row>
    <row r="8" spans="1:14" x14ac:dyDescent="0.25">
      <c r="A8" t="s">
        <v>8</v>
      </c>
      <c r="B8">
        <v>1</v>
      </c>
      <c r="D8">
        <v>8</v>
      </c>
      <c r="F8">
        <v>6</v>
      </c>
      <c r="H8">
        <v>3</v>
      </c>
      <c r="J8">
        <v>3</v>
      </c>
      <c r="L8">
        <v>6</v>
      </c>
      <c r="N8" s="4" t="s">
        <v>23</v>
      </c>
    </row>
    <row r="9" spans="1:14" x14ac:dyDescent="0.25">
      <c r="B9" t="s">
        <v>25</v>
      </c>
      <c r="C9" s="1" t="s">
        <v>2</v>
      </c>
      <c r="D9" t="s">
        <v>3</v>
      </c>
      <c r="E9" s="1" t="s">
        <v>2</v>
      </c>
      <c r="F9" t="s">
        <v>4</v>
      </c>
      <c r="G9" s="1" t="s">
        <v>5</v>
      </c>
      <c r="H9" t="s">
        <v>13</v>
      </c>
      <c r="I9" s="1" t="s">
        <v>2</v>
      </c>
      <c r="J9" t="s">
        <v>6</v>
      </c>
      <c r="K9" s="1" t="s">
        <v>2</v>
      </c>
      <c r="L9" t="s">
        <v>26</v>
      </c>
      <c r="N9" s="4" t="s">
        <v>24</v>
      </c>
    </row>
    <row r="10" spans="1:14" x14ac:dyDescent="0.25">
      <c r="A10" s="2" t="s">
        <v>7</v>
      </c>
      <c r="B10">
        <f>(H10/3)*B7</f>
        <v>40</v>
      </c>
      <c r="D10">
        <f>(8*H10/3)*D7</f>
        <v>600</v>
      </c>
      <c r="F10">
        <f>H10*2</f>
        <v>200</v>
      </c>
      <c r="H10" s="3">
        <v>100</v>
      </c>
      <c r="J10">
        <v>100</v>
      </c>
      <c r="L10">
        <v>200</v>
      </c>
    </row>
    <row r="11" spans="1:14" x14ac:dyDescent="0.25">
      <c r="A11" t="s">
        <v>12</v>
      </c>
      <c r="B11">
        <f>B10/1000</f>
        <v>0.04</v>
      </c>
      <c r="D11">
        <f t="shared" ref="D11:H11" si="0">D10/1000</f>
        <v>0.6</v>
      </c>
      <c r="F11">
        <f t="shared" si="0"/>
        <v>0.2</v>
      </c>
      <c r="H11">
        <f t="shared" si="0"/>
        <v>0.1</v>
      </c>
      <c r="J11">
        <f>J10/1000</f>
        <v>0.1</v>
      </c>
      <c r="L11">
        <f t="shared" ref="L11" si="1">L10/1000</f>
        <v>0.2</v>
      </c>
    </row>
    <row r="12" spans="1:14" x14ac:dyDescent="0.25">
      <c r="A12" t="s">
        <v>15</v>
      </c>
      <c r="B12">
        <f>$E$3*B11</f>
        <v>4</v>
      </c>
      <c r="D12">
        <f>$E$3*D11</f>
        <v>60</v>
      </c>
      <c r="F12">
        <f t="shared" ref="F12" si="2">$E$3*F11</f>
        <v>20</v>
      </c>
      <c r="H12">
        <v>0</v>
      </c>
      <c r="J12">
        <v>0</v>
      </c>
      <c r="L12">
        <v>0</v>
      </c>
    </row>
    <row r="13" spans="1:14" x14ac:dyDescent="0.25">
      <c r="A13" t="s">
        <v>17</v>
      </c>
      <c r="B13">
        <f>1/6*F13</f>
        <v>-3.333333333333333</v>
      </c>
      <c r="D13">
        <f>4/3*F13</f>
        <v>-26.666666666666664</v>
      </c>
      <c r="F13">
        <f>-F12</f>
        <v>-20</v>
      </c>
      <c r="H13">
        <f>-1/2*F13</f>
        <v>10</v>
      </c>
      <c r="J13">
        <f>-1/2*F13</f>
        <v>10</v>
      </c>
      <c r="L13">
        <f>-1*F13</f>
        <v>20</v>
      </c>
    </row>
    <row r="14" spans="1:14" x14ac:dyDescent="0.25">
      <c r="A14" t="s">
        <v>16</v>
      </c>
      <c r="B14">
        <f>B12+B13</f>
        <v>0.66666666666666696</v>
      </c>
      <c r="D14">
        <f t="shared" ref="D14:L14" si="3">D12+D13</f>
        <v>33.333333333333336</v>
      </c>
      <c r="F14">
        <f t="shared" si="3"/>
        <v>0</v>
      </c>
      <c r="H14">
        <f t="shared" si="3"/>
        <v>10</v>
      </c>
      <c r="J14">
        <f t="shared" si="3"/>
        <v>10</v>
      </c>
      <c r="L14">
        <f t="shared" si="3"/>
        <v>20</v>
      </c>
    </row>
    <row r="15" spans="1:14" x14ac:dyDescent="0.25">
      <c r="A15" t="s">
        <v>18</v>
      </c>
      <c r="B15">
        <f>B14/$E$3</f>
        <v>6.6666666666666697E-3</v>
      </c>
      <c r="D15">
        <f t="shared" ref="D15:L15" si="4">D14/$E$3</f>
        <v>0.33333333333333337</v>
      </c>
      <c r="F15">
        <f t="shared" si="4"/>
        <v>0</v>
      </c>
      <c r="H15">
        <f t="shared" si="4"/>
        <v>0.1</v>
      </c>
      <c r="J15">
        <f t="shared" si="4"/>
        <v>0.1</v>
      </c>
      <c r="L15">
        <f t="shared" si="4"/>
        <v>0.2</v>
      </c>
    </row>
    <row r="18" spans="1:14" x14ac:dyDescent="0.25">
      <c r="A18" t="s">
        <v>111</v>
      </c>
      <c r="B18" t="s">
        <v>29</v>
      </c>
      <c r="M18" t="s">
        <v>21</v>
      </c>
    </row>
    <row r="19" spans="1:14" x14ac:dyDescent="0.25">
      <c r="A19" t="s">
        <v>19</v>
      </c>
      <c r="B19" t="s">
        <v>30</v>
      </c>
      <c r="M19" s="4" t="s">
        <v>0</v>
      </c>
      <c r="N19" s="4" t="s">
        <v>22</v>
      </c>
    </row>
    <row r="20" spans="1:14" x14ac:dyDescent="0.25">
      <c r="A20" t="s">
        <v>34</v>
      </c>
      <c r="B20" t="s">
        <v>31</v>
      </c>
      <c r="M20" t="s">
        <v>25</v>
      </c>
      <c r="N20">
        <f>B15</f>
        <v>6.6666666666666697E-3</v>
      </c>
    </row>
    <row r="21" spans="1:14" x14ac:dyDescent="0.25">
      <c r="A21" t="s">
        <v>35</v>
      </c>
      <c r="B21" t="s">
        <v>32</v>
      </c>
      <c r="M21" t="s">
        <v>3</v>
      </c>
      <c r="N21">
        <f>D15</f>
        <v>0.33333333333333337</v>
      </c>
    </row>
    <row r="22" spans="1:14" x14ac:dyDescent="0.25">
      <c r="A22" t="s">
        <v>27</v>
      </c>
      <c r="B22" t="s">
        <v>33</v>
      </c>
      <c r="M22" t="s">
        <v>13</v>
      </c>
      <c r="N22">
        <f>H15</f>
        <v>0.1</v>
      </c>
    </row>
    <row r="23" spans="1:14" x14ac:dyDescent="0.25">
      <c r="A23" t="s">
        <v>28</v>
      </c>
      <c r="B23" t="s">
        <v>36</v>
      </c>
      <c r="M23" t="s">
        <v>26</v>
      </c>
      <c r="N23">
        <f>L15</f>
        <v>0.2</v>
      </c>
    </row>
    <row r="24" spans="1:14" x14ac:dyDescent="0.25">
      <c r="A24" t="s">
        <v>1</v>
      </c>
      <c r="B24" t="s">
        <v>37</v>
      </c>
      <c r="M24" s="14" t="s">
        <v>185</v>
      </c>
      <c r="N24" s="14">
        <f>B12*'[1]Reagent cost'!C34+D12*'[1]Reagent cost'!C35+F12*'[1]Reagent cost'!C36*'[1]Reagent cost'!C14/1000</f>
        <v>186.424352</v>
      </c>
    </row>
    <row r="25" spans="1:14" x14ac:dyDescent="0.25">
      <c r="A25" t="s">
        <v>3</v>
      </c>
      <c r="B25" t="s">
        <v>37</v>
      </c>
      <c r="M25" s="15" t="s">
        <v>186</v>
      </c>
      <c r="N25" s="14">
        <f>N24/100</f>
        <v>1.86424352</v>
      </c>
    </row>
    <row r="26" spans="1:14" x14ac:dyDescent="0.25">
      <c r="A26" t="s">
        <v>13</v>
      </c>
      <c r="B26" t="s">
        <v>37</v>
      </c>
    </row>
    <row r="27" spans="1:14" x14ac:dyDescent="0.25">
      <c r="A27" t="s">
        <v>26</v>
      </c>
      <c r="B27" t="s">
        <v>37</v>
      </c>
    </row>
    <row r="39" spans="1:10" x14ac:dyDescent="0.25">
      <c r="E39" t="s">
        <v>86</v>
      </c>
    </row>
    <row r="40" spans="1:10" x14ac:dyDescent="0.25">
      <c r="E40">
        <f>1.89/0.2</f>
        <v>9.4499999999999993</v>
      </c>
      <c r="F40">
        <f>E40*0.006666666666</f>
        <v>6.2999999993699998E-2</v>
      </c>
    </row>
    <row r="44" spans="1:10" x14ac:dyDescent="0.25">
      <c r="B44" t="s">
        <v>26</v>
      </c>
      <c r="C44" t="s">
        <v>2</v>
      </c>
      <c r="D44" t="s">
        <v>13</v>
      </c>
      <c r="E44" t="s">
        <v>2</v>
      </c>
      <c r="F44" t="s">
        <v>52</v>
      </c>
      <c r="G44" t="s">
        <v>5</v>
      </c>
      <c r="H44" t="s">
        <v>82</v>
      </c>
      <c r="I44" t="s">
        <v>2</v>
      </c>
      <c r="J44" t="s">
        <v>3</v>
      </c>
    </row>
    <row r="45" spans="1:10" x14ac:dyDescent="0.25">
      <c r="B45">
        <v>1</v>
      </c>
      <c r="D45" s="7">
        <v>0.5</v>
      </c>
      <c r="F45">
        <v>1</v>
      </c>
      <c r="H45">
        <v>1</v>
      </c>
      <c r="J45">
        <v>1.5</v>
      </c>
    </row>
    <row r="46" spans="1:10" x14ac:dyDescent="0.25">
      <c r="A46" t="s">
        <v>83</v>
      </c>
      <c r="B46">
        <v>1.89</v>
      </c>
      <c r="D46">
        <f>F46*D45*1.2</f>
        <v>1.1339999999999999</v>
      </c>
      <c r="F46">
        <v>1.89</v>
      </c>
      <c r="H46">
        <v>0</v>
      </c>
      <c r="J46">
        <v>3.78</v>
      </c>
    </row>
    <row r="47" spans="1:10" x14ac:dyDescent="0.25">
      <c r="A47" t="s">
        <v>84</v>
      </c>
      <c r="B47">
        <f>$F$47*B45</f>
        <v>-1.89</v>
      </c>
      <c r="D47">
        <f>$F$47*D45</f>
        <v>-0.94499999999999995</v>
      </c>
      <c r="F47">
        <f>-F46</f>
        <v>-1.89</v>
      </c>
      <c r="H47">
        <f>-$F$47*H45</f>
        <v>1.89</v>
      </c>
      <c r="I47">
        <f>-$F$47*I45</f>
        <v>0</v>
      </c>
      <c r="J47">
        <f>-$F$47*J45</f>
        <v>2.835</v>
      </c>
    </row>
    <row r="48" spans="1:10" x14ac:dyDescent="0.25">
      <c r="A48" t="s">
        <v>85</v>
      </c>
      <c r="B48">
        <f t="shared" ref="B48:J48" si="5">B46+B47</f>
        <v>0</v>
      </c>
      <c r="C48">
        <f t="shared" si="5"/>
        <v>0</v>
      </c>
      <c r="D48">
        <f t="shared" si="5"/>
        <v>0.18899999999999995</v>
      </c>
      <c r="E48">
        <f t="shared" si="5"/>
        <v>0</v>
      </c>
      <c r="F48">
        <f t="shared" si="5"/>
        <v>0</v>
      </c>
      <c r="G48">
        <f t="shared" si="5"/>
        <v>0</v>
      </c>
      <c r="H48">
        <f t="shared" si="5"/>
        <v>1.89</v>
      </c>
      <c r="I48">
        <f t="shared" si="5"/>
        <v>0</v>
      </c>
      <c r="J48">
        <f t="shared" si="5"/>
        <v>6.6150000000000002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89C8-0138-4D9B-BA11-5CC98ECD5E7F}">
  <dimension ref="A1:A23"/>
  <sheetViews>
    <sheetView workbookViewId="0">
      <selection activeCell="B2" sqref="B2"/>
    </sheetView>
  </sheetViews>
  <sheetFormatPr defaultRowHeight="15" x14ac:dyDescent="0.25"/>
  <cols>
    <col min="1" max="1" width="10.5703125" bestFit="1" customWidth="1"/>
  </cols>
  <sheetData>
    <row r="1" spans="1:1" x14ac:dyDescent="0.25">
      <c r="A1" t="s">
        <v>0</v>
      </c>
    </row>
    <row r="2" spans="1:1" x14ac:dyDescent="0.25">
      <c r="A2" t="s">
        <v>112</v>
      </c>
    </row>
    <row r="3" spans="1:1" x14ac:dyDescent="0.25">
      <c r="A3" t="s">
        <v>113</v>
      </c>
    </row>
    <row r="4" spans="1:1" x14ac:dyDescent="0.25">
      <c r="A4" t="s">
        <v>121</v>
      </c>
    </row>
    <row r="5" spans="1:1" x14ac:dyDescent="0.25">
      <c r="A5" t="s">
        <v>122</v>
      </c>
    </row>
    <row r="6" spans="1:1" x14ac:dyDescent="0.25">
      <c r="A6" t="s">
        <v>115</v>
      </c>
    </row>
    <row r="7" spans="1:1" x14ac:dyDescent="0.25">
      <c r="A7" t="s">
        <v>114</v>
      </c>
    </row>
    <row r="8" spans="1:1" x14ac:dyDescent="0.25">
      <c r="A8" t="s">
        <v>116</v>
      </c>
    </row>
    <row r="9" spans="1:1" x14ac:dyDescent="0.25">
      <c r="A9" t="s">
        <v>107</v>
      </c>
    </row>
    <row r="10" spans="1:1" x14ac:dyDescent="0.25">
      <c r="A10" t="s">
        <v>120</v>
      </c>
    </row>
    <row r="11" spans="1:1" x14ac:dyDescent="0.25">
      <c r="A11" t="s">
        <v>117</v>
      </c>
    </row>
    <row r="12" spans="1:1" x14ac:dyDescent="0.25">
      <c r="A12" t="s">
        <v>118</v>
      </c>
    </row>
    <row r="13" spans="1:1" x14ac:dyDescent="0.25">
      <c r="A13" t="s">
        <v>119</v>
      </c>
    </row>
    <row r="14" spans="1:1" x14ac:dyDescent="0.25">
      <c r="A14" t="s">
        <v>139</v>
      </c>
    </row>
    <row r="15" spans="1:1" x14ac:dyDescent="0.25">
      <c r="A15" t="s">
        <v>140</v>
      </c>
    </row>
    <row r="16" spans="1:1" x14ac:dyDescent="0.25">
      <c r="A16" t="s">
        <v>52</v>
      </c>
    </row>
    <row r="17" spans="1:1" x14ac:dyDescent="0.25">
      <c r="A17" t="s">
        <v>123</v>
      </c>
    </row>
    <row r="18" spans="1:1" x14ac:dyDescent="0.25">
      <c r="A18" t="s">
        <v>142</v>
      </c>
    </row>
    <row r="19" spans="1:1" x14ac:dyDescent="0.25">
      <c r="A19" t="s">
        <v>143</v>
      </c>
    </row>
    <row r="20" spans="1:1" x14ac:dyDescent="0.25">
      <c r="A20" t="s">
        <v>144</v>
      </c>
    </row>
    <row r="21" spans="1:1" x14ac:dyDescent="0.25">
      <c r="A21" t="s">
        <v>145</v>
      </c>
    </row>
    <row r="22" spans="1:1" x14ac:dyDescent="0.25">
      <c r="A22" t="s">
        <v>6</v>
      </c>
    </row>
    <row r="23" spans="1:1" x14ac:dyDescent="0.25">
      <c r="A23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8D66-6E89-4E35-861E-368A13BFB87C}">
  <dimension ref="A1:CA101"/>
  <sheetViews>
    <sheetView tabSelected="1" topLeftCell="BW1" zoomScale="85" zoomScaleNormal="85" workbookViewId="0">
      <selection activeCell="CB3" sqref="CB3"/>
    </sheetView>
  </sheetViews>
  <sheetFormatPr defaultRowHeight="15" x14ac:dyDescent="0.25"/>
  <cols>
    <col min="2" max="2" width="12.85546875" bestFit="1" customWidth="1"/>
    <col min="3" max="4" width="13.5703125" bestFit="1" customWidth="1"/>
    <col min="26" max="26" width="31.140625" bestFit="1" customWidth="1"/>
    <col min="27" max="28" width="31.7109375" bestFit="1" customWidth="1"/>
    <col min="29" max="29" width="15.140625" customWidth="1"/>
    <col min="30" max="30" width="22" bestFit="1" customWidth="1"/>
    <col min="31" max="31" width="22.5703125" bestFit="1" customWidth="1"/>
    <col min="32" max="32" width="24.28515625" bestFit="1" customWidth="1"/>
    <col min="33" max="33" width="22.5703125" bestFit="1" customWidth="1"/>
    <col min="34" max="34" width="31.140625" customWidth="1"/>
    <col min="35" max="35" width="32.42578125" bestFit="1" customWidth="1"/>
    <col min="36" max="36" width="30.42578125" customWidth="1"/>
    <col min="37" max="37" width="30.140625" bestFit="1" customWidth="1"/>
    <col min="38" max="38" width="33.5703125" customWidth="1"/>
    <col min="39" max="39" width="35.28515625" bestFit="1" customWidth="1"/>
    <col min="40" max="40" width="28.5703125" customWidth="1"/>
    <col min="41" max="41" width="30.85546875" bestFit="1" customWidth="1"/>
    <col min="42" max="42" width="32.7109375" bestFit="1" customWidth="1"/>
    <col min="43" max="43" width="32.5703125" customWidth="1"/>
    <col min="44" max="44" width="20.85546875" customWidth="1"/>
    <col min="45" max="45" width="26.85546875" bestFit="1" customWidth="1"/>
    <col min="46" max="47" width="28.28515625" bestFit="1" customWidth="1"/>
    <col min="48" max="48" width="37.28515625" customWidth="1"/>
    <col min="49" max="50" width="34.5703125" bestFit="1" customWidth="1"/>
    <col min="51" max="51" width="31.28515625" bestFit="1" customWidth="1"/>
    <col min="52" max="53" width="29.85546875" bestFit="1" customWidth="1"/>
    <col min="54" max="54" width="23.28515625" bestFit="1" customWidth="1"/>
    <col min="55" max="55" width="25.140625" bestFit="1" customWidth="1"/>
    <col min="56" max="56" width="18.85546875" bestFit="1" customWidth="1"/>
    <col min="57" max="57" width="16.7109375" bestFit="1" customWidth="1"/>
    <col min="58" max="58" width="34.140625" bestFit="1" customWidth="1"/>
    <col min="59" max="60" width="35.5703125" bestFit="1" customWidth="1"/>
    <col min="61" max="61" width="32.28515625" bestFit="1" customWidth="1"/>
    <col min="62" max="62" width="33.28515625" bestFit="1" customWidth="1"/>
    <col min="63" max="63" width="33.140625" bestFit="1" customWidth="1"/>
    <col min="64" max="64" width="41.85546875" bestFit="1" customWidth="1"/>
    <col min="65" max="65" width="20" bestFit="1" customWidth="1"/>
    <col min="66" max="66" width="26.7109375" bestFit="1" customWidth="1"/>
    <col min="67" max="67" width="43" customWidth="1"/>
    <col min="68" max="68" width="40.5703125" bestFit="1" customWidth="1"/>
    <col min="69" max="69" width="26" bestFit="1" customWidth="1"/>
    <col min="70" max="70" width="48" bestFit="1" customWidth="1"/>
    <col min="71" max="71" width="43.85546875" bestFit="1" customWidth="1"/>
    <col min="72" max="72" width="33" bestFit="1" customWidth="1"/>
    <col min="73" max="73" width="27.140625" bestFit="1" customWidth="1"/>
    <col min="74" max="74" width="46.140625" bestFit="1" customWidth="1"/>
    <col min="75" max="75" width="43.5703125" bestFit="1" customWidth="1"/>
    <col min="76" max="76" width="26.28515625" bestFit="1" customWidth="1"/>
    <col min="77" max="77" width="51.140625" bestFit="1" customWidth="1"/>
    <col min="78" max="78" width="31.85546875" bestFit="1" customWidth="1"/>
    <col min="79" max="80" width="27.140625" bestFit="1" customWidth="1"/>
  </cols>
  <sheetData>
    <row r="1" spans="1:79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70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71</v>
      </c>
      <c r="AD1" t="s">
        <v>66</v>
      </c>
      <c r="AE1" t="s">
        <v>67</v>
      </c>
      <c r="AF1" t="s">
        <v>68</v>
      </c>
      <c r="AG1" t="s">
        <v>69</v>
      </c>
      <c r="AH1" t="s">
        <v>72</v>
      </c>
      <c r="AI1" t="s">
        <v>73</v>
      </c>
      <c r="AJ1" t="s">
        <v>74</v>
      </c>
      <c r="AK1" t="s">
        <v>87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88</v>
      </c>
      <c r="AT1" t="s">
        <v>89</v>
      </c>
      <c r="AU1" t="s">
        <v>90</v>
      </c>
      <c r="AV1" t="s">
        <v>91</v>
      </c>
      <c r="AW1" t="s">
        <v>92</v>
      </c>
      <c r="AX1" t="s">
        <v>93</v>
      </c>
      <c r="AY1" t="s">
        <v>94</v>
      </c>
      <c r="AZ1" t="s">
        <v>95</v>
      </c>
      <c r="BA1" t="s">
        <v>96</v>
      </c>
      <c r="BB1" t="s">
        <v>98</v>
      </c>
      <c r="BC1" t="s">
        <v>97</v>
      </c>
      <c r="BD1" t="s">
        <v>99</v>
      </c>
      <c r="BE1" t="s">
        <v>100</v>
      </c>
      <c r="BF1" t="s">
        <v>104</v>
      </c>
      <c r="BG1" t="s">
        <v>105</v>
      </c>
      <c r="BH1" t="s">
        <v>106</v>
      </c>
      <c r="BI1" t="s">
        <v>101</v>
      </c>
      <c r="BJ1" t="s">
        <v>102</v>
      </c>
      <c r="BK1" t="s">
        <v>103</v>
      </c>
      <c r="BL1" t="s">
        <v>108</v>
      </c>
      <c r="BM1" t="s">
        <v>109</v>
      </c>
      <c r="BN1" t="s">
        <v>110</v>
      </c>
      <c r="BO1" t="s">
        <v>124</v>
      </c>
      <c r="BP1" t="s">
        <v>125</v>
      </c>
      <c r="BQ1" s="9" t="s">
        <v>129</v>
      </c>
      <c r="BR1" t="s">
        <v>126</v>
      </c>
      <c r="BS1" t="s">
        <v>127</v>
      </c>
      <c r="BT1" t="s">
        <v>128</v>
      </c>
      <c r="BU1" t="s">
        <v>130</v>
      </c>
      <c r="BV1" t="s">
        <v>131</v>
      </c>
      <c r="BW1" t="s">
        <v>132</v>
      </c>
      <c r="BX1" s="9" t="s">
        <v>133</v>
      </c>
      <c r="BY1" t="s">
        <v>134</v>
      </c>
      <c r="BZ1" t="s">
        <v>135</v>
      </c>
      <c r="CA1" t="s">
        <v>130</v>
      </c>
    </row>
    <row r="2" spans="1:79" x14ac:dyDescent="0.25">
      <c r="A2">
        <v>3</v>
      </c>
      <c r="B2">
        <v>1.54143585092054E-3</v>
      </c>
      <c r="C2">
        <v>1.54143585092054E-3</v>
      </c>
      <c r="D2">
        <v>3.4254130020456501E-4</v>
      </c>
      <c r="E2">
        <v>0</v>
      </c>
      <c r="F2">
        <v>0</v>
      </c>
      <c r="G2">
        <v>0</v>
      </c>
      <c r="H2" s="5">
        <v>1.6300358850230801E-5</v>
      </c>
      <c r="I2" s="5">
        <v>7.4474859607128495E-7</v>
      </c>
      <c r="J2">
        <v>3.2385704147932398E-4</v>
      </c>
      <c r="K2">
        <v>8.07271092797512E-2</v>
      </c>
      <c r="L2">
        <v>8.15504849440159E-2</v>
      </c>
      <c r="M2">
        <v>9.8897848995466706E-4</v>
      </c>
      <c r="N2" t="s">
        <v>52</v>
      </c>
      <c r="O2">
        <v>0.1</v>
      </c>
      <c r="P2">
        <v>4</v>
      </c>
      <c r="Q2">
        <v>1.6455478770638001E-3</v>
      </c>
      <c r="R2">
        <v>1.66233163271225E-3</v>
      </c>
      <c r="S2">
        <v>2.0159416943409301E-5</v>
      </c>
      <c r="T2">
        <v>0</v>
      </c>
      <c r="U2">
        <v>0</v>
      </c>
      <c r="V2">
        <v>0</v>
      </c>
      <c r="W2">
        <v>1.5983351284394301E-3</v>
      </c>
      <c r="X2">
        <v>6.4131851460064998E-5</v>
      </c>
      <c r="Y2">
        <v>1.99910500367739E-5</v>
      </c>
      <c r="Z2">
        <v>2.04098585158686E-3</v>
      </c>
      <c r="AA2">
        <v>6.9089456483383896E-2</v>
      </c>
      <c r="AB2">
        <v>7.2784255170584696E-6</v>
      </c>
      <c r="AC2">
        <v>0.1</v>
      </c>
      <c r="AD2">
        <v>100</v>
      </c>
      <c r="AE2">
        <v>18.892482409907799</v>
      </c>
      <c r="AF2">
        <v>92.6825353019658</v>
      </c>
      <c r="AG2">
        <v>21.439625549974</v>
      </c>
      <c r="AH2">
        <f t="shared" ref="AH2:AH33" si="0">AE2*O2</f>
        <v>1.88924824099078</v>
      </c>
      <c r="AI2">
        <f>AG2*AC2</f>
        <v>2.1439625549974002</v>
      </c>
      <c r="AJ2">
        <f>AH2</f>
        <v>1.88924824099078</v>
      </c>
      <c r="AK2">
        <f>AI2</f>
        <v>2.1439625549974002</v>
      </c>
      <c r="AL2">
        <f t="shared" ref="AL2:AL33" si="1">AE2*O2*(K2*2+L2*2+M2*3)</f>
        <v>0.61877059649650878</v>
      </c>
      <c r="AM2">
        <f>AJ2-AL2</f>
        <v>1.2704776444942714</v>
      </c>
      <c r="AN2">
        <f>AJ2-AM2</f>
        <v>0.61877059649650867</v>
      </c>
      <c r="AO2" s="5">
        <f t="shared" ref="AO2:AO33" si="2">H2*AD2</f>
        <v>1.6300358850230802E-3</v>
      </c>
      <c r="AP2" s="5">
        <f t="shared" ref="AP2:AP33" si="3">I2*AD2</f>
        <v>7.4474859607128499E-5</v>
      </c>
      <c r="AQ2" s="5">
        <f t="shared" ref="AQ2:AQ33" si="4">J2*AD2</f>
        <v>3.2385704147932397E-2</v>
      </c>
      <c r="AR2">
        <f>0.1*AD2</f>
        <v>10</v>
      </c>
      <c r="AS2" s="5">
        <f t="shared" ref="AS2:AS33" si="5">AD2*B2</f>
        <v>0.154143585092054</v>
      </c>
      <c r="AT2" s="8">
        <f t="shared" ref="AT2:AT33" si="6">AD2*C2</f>
        <v>0.154143585092054</v>
      </c>
      <c r="AU2" s="5">
        <f t="shared" ref="AU2:AU33" si="7">AD2*D2</f>
        <v>3.4254130020456498E-2</v>
      </c>
      <c r="AV2" s="5">
        <f t="shared" ref="AV2:AV33" si="8">AS2-AO2</f>
        <v>0.15251354920703092</v>
      </c>
      <c r="AW2" s="8">
        <f t="shared" ref="AW2:AW33" si="9">AT2-AP2</f>
        <v>0.15406911023244688</v>
      </c>
      <c r="AX2" s="5">
        <f t="shared" ref="AX2:AX33" si="10">AU2-AQ2</f>
        <v>1.8684258725241015E-3</v>
      </c>
      <c r="AY2" s="5">
        <f t="shared" ref="AY2:AY33" si="11">AF2*W2</f>
        <v>0.14813775196595952</v>
      </c>
      <c r="AZ2">
        <f t="shared" ref="AZ2:AZ33" si="12">AF2*X2</f>
        <v>5.9439025869279013E-3</v>
      </c>
      <c r="BA2">
        <f t="shared" ref="BA2:BA33" si="13">AF2*Y2</f>
        <v>1.8528212007566617E-3</v>
      </c>
      <c r="BB2" s="5">
        <f t="shared" ref="BB2:BB33" si="14">AY2/SUM(AY2:BA2)*100</f>
        <v>94.999999999998479</v>
      </c>
      <c r="BC2" s="5">
        <f t="shared" ref="BC2:BC33" si="15">SUM(AY2:BA2)</f>
        <v>0.15593447575364408</v>
      </c>
      <c r="BD2" s="5">
        <f t="shared" ref="BD2:BD33" si="16">AY2*2+AZ2*1+BA2*3/2</f>
        <v>0.30499863831998192</v>
      </c>
      <c r="BE2" s="16">
        <f t="shared" ref="BE2:BE33" si="17">AY2*2+AZ2*2+BA2*3</f>
        <v>0.3137217727080448</v>
      </c>
      <c r="BF2">
        <f t="shared" ref="BF2:BF33" si="18">AG2*AC2*Z2</f>
        <v>4.3757972410817091E-3</v>
      </c>
      <c r="BG2">
        <f t="shared" ref="BG2:BG33" si="19">AG2*AC2*AA2</f>
        <v>0.14812520764549744</v>
      </c>
      <c r="BH2">
        <f t="shared" ref="BH2:BH33" si="20">AG2*AC2*AB2</f>
        <v>1.560467176791095E-5</v>
      </c>
      <c r="BI2">
        <f t="shared" ref="BI2:BI33" si="21">BF2*2+BG2*2+BH2*3</f>
        <v>0.30504882378846199</v>
      </c>
      <c r="BJ2">
        <f t="shared" ref="BJ2:BJ33" si="22">AK2-BI2</f>
        <v>1.8389137312089381</v>
      </c>
      <c r="BK2">
        <f t="shared" ref="BK2:BK33" si="23">BI2</f>
        <v>0.30504882378846199</v>
      </c>
      <c r="BL2">
        <f>BK2+AM2</f>
        <v>1.5755264682827335</v>
      </c>
      <c r="BM2">
        <f>2*BF2+BG2+3/2*BH2</f>
        <v>0.15690020913531272</v>
      </c>
      <c r="BN2">
        <f>2*BF2+BG2*2+3*BH2</f>
        <v>0.30504882378846199</v>
      </c>
      <c r="BO2" s="5">
        <f t="shared" ref="BO2:BO33" si="24">BL2</f>
        <v>1.5755264682827335</v>
      </c>
      <c r="BP2" s="5">
        <f t="shared" ref="BP2:BP33" si="25">BE2</f>
        <v>0.3137217727080448</v>
      </c>
      <c r="BQ2" s="4">
        <f>AJ2*2</f>
        <v>3.7784964819815601</v>
      </c>
      <c r="BR2" s="5">
        <f t="shared" ref="BR2:BR33" si="26">AJ2/(BQ2+BE2)*BP2</f>
        <v>0.14483545851200919</v>
      </c>
      <c r="BS2">
        <f t="shared" ref="BS2:BS33" si="27">BO2/BR2*AJ2</f>
        <v>20.55132520321856</v>
      </c>
      <c r="BT2">
        <f t="shared" ref="BT2:BT33" si="28">BS2-BK2</f>
        <v>20.2462763794301</v>
      </c>
      <c r="BU2">
        <f>BT2-AM2</f>
        <v>18.975798734935829</v>
      </c>
      <c r="BV2">
        <f>BJ2</f>
        <v>1.8389137312089381</v>
      </c>
      <c r="BW2">
        <f>BN2</f>
        <v>0.30504882378846199</v>
      </c>
      <c r="BX2" s="4">
        <f>AK2*2</f>
        <v>4.2879251099948004</v>
      </c>
      <c r="BY2">
        <f>AK2/(BX2+BN2)*BW2</f>
        <v>0.14239428855407149</v>
      </c>
      <c r="BZ2">
        <f>BV2/BY2*AK2</f>
        <v>27.687642682981664</v>
      </c>
      <c r="CA2">
        <f>BZ2-BJ2</f>
        <v>25.848728951772728</v>
      </c>
    </row>
    <row r="3" spans="1:79" x14ac:dyDescent="0.25">
      <c r="A3">
        <v>3</v>
      </c>
      <c r="B3">
        <v>1.54143585092054E-3</v>
      </c>
      <c r="C3">
        <v>1.54143585092054E-3</v>
      </c>
      <c r="D3">
        <v>3.4254130020456501E-4</v>
      </c>
      <c r="E3">
        <v>0</v>
      </c>
      <c r="F3">
        <v>0</v>
      </c>
      <c r="G3">
        <v>0</v>
      </c>
      <c r="H3" s="5">
        <v>1.6300358850230801E-5</v>
      </c>
      <c r="I3" s="5">
        <v>7.4474859607128495E-7</v>
      </c>
      <c r="J3">
        <v>3.2385704147932398E-4</v>
      </c>
      <c r="K3">
        <v>8.07271092797512E-2</v>
      </c>
      <c r="L3">
        <v>8.15504849440159E-2</v>
      </c>
      <c r="M3">
        <v>9.8897848995466706E-4</v>
      </c>
      <c r="N3" t="s">
        <v>52</v>
      </c>
      <c r="O3">
        <v>0.1</v>
      </c>
      <c r="P3">
        <v>5</v>
      </c>
      <c r="Q3">
        <v>1.6455478770638001E-3</v>
      </c>
      <c r="R3">
        <v>1.66233163271225E-3</v>
      </c>
      <c r="S3">
        <v>2.0159416943409301E-5</v>
      </c>
      <c r="T3">
        <v>0</v>
      </c>
      <c r="U3">
        <v>0</v>
      </c>
      <c r="V3">
        <v>0</v>
      </c>
      <c r="W3">
        <v>1.6052842060858799E-3</v>
      </c>
      <c r="X3">
        <v>6.4473619347604606E-5</v>
      </c>
      <c r="Y3">
        <v>2.0015023078929502E-5</v>
      </c>
      <c r="Z3">
        <v>1.83001337116067E-3</v>
      </c>
      <c r="AA3">
        <v>7.2623818410792906E-2</v>
      </c>
      <c r="AB3">
        <v>6.5628070240175303E-6</v>
      </c>
      <c r="AC3">
        <v>0.1</v>
      </c>
      <c r="AD3">
        <v>100</v>
      </c>
      <c r="AE3">
        <v>18.892482409907799</v>
      </c>
      <c r="AF3">
        <v>92.6825353019658</v>
      </c>
      <c r="AG3">
        <v>20.3918679814538</v>
      </c>
      <c r="AH3">
        <f t="shared" si="0"/>
        <v>1.88924824099078</v>
      </c>
      <c r="AI3">
        <f t="shared" ref="AI3:AI66" si="29">AG3*AC3</f>
        <v>2.03918679814538</v>
      </c>
      <c r="AJ3">
        <f t="shared" ref="AJ3:AJ66" si="30">AH3</f>
        <v>1.88924824099078</v>
      </c>
      <c r="AK3">
        <f>AI3</f>
        <v>2.03918679814538</v>
      </c>
      <c r="AL3">
        <f t="shared" si="1"/>
        <v>0.61877059649650878</v>
      </c>
      <c r="AM3">
        <f t="shared" ref="AM3:AM66" si="31">AJ3-AL3</f>
        <v>1.2704776444942714</v>
      </c>
      <c r="AN3">
        <f t="shared" ref="AN3:AN66" si="32">AJ3-AM3</f>
        <v>0.61877059649650867</v>
      </c>
      <c r="AO3" s="5">
        <f t="shared" si="2"/>
        <v>1.6300358850230802E-3</v>
      </c>
      <c r="AP3" s="5">
        <f t="shared" si="3"/>
        <v>7.4474859607128499E-5</v>
      </c>
      <c r="AQ3" s="5">
        <f t="shared" si="4"/>
        <v>3.2385704147932397E-2</v>
      </c>
      <c r="AR3">
        <f t="shared" ref="AR3:AR33" si="33">0.1*AD3</f>
        <v>10</v>
      </c>
      <c r="AS3" s="5">
        <f t="shared" si="5"/>
        <v>0.154143585092054</v>
      </c>
      <c r="AT3" s="8">
        <f t="shared" si="6"/>
        <v>0.154143585092054</v>
      </c>
      <c r="AU3" s="5">
        <f t="shared" si="7"/>
        <v>3.4254130020456498E-2</v>
      </c>
      <c r="AV3" s="5">
        <f t="shared" si="8"/>
        <v>0.15251354920703092</v>
      </c>
      <c r="AW3" s="8">
        <f t="shared" si="9"/>
        <v>0.15406911023244688</v>
      </c>
      <c r="AX3" s="5">
        <f t="shared" si="10"/>
        <v>1.8684258725241015E-3</v>
      </c>
      <c r="AY3" s="5">
        <f t="shared" si="11"/>
        <v>0.14878181010024272</v>
      </c>
      <c r="AZ3">
        <f t="shared" si="12"/>
        <v>5.9755785012298689E-3</v>
      </c>
      <c r="BA3">
        <f t="shared" si="13"/>
        <v>1.8550430830825437E-3</v>
      </c>
      <c r="BB3" s="5">
        <f t="shared" si="14"/>
        <v>94.999999999945956</v>
      </c>
      <c r="BC3" s="5">
        <f t="shared" si="15"/>
        <v>0.15661243168455513</v>
      </c>
      <c r="BD3" s="5">
        <f t="shared" si="16"/>
        <v>0.30632176332633915</v>
      </c>
      <c r="BE3" s="16">
        <f t="shared" si="17"/>
        <v>0.3150799064521928</v>
      </c>
      <c r="BF3">
        <f t="shared" si="18"/>
        <v>3.7317391069003596E-3</v>
      </c>
      <c r="BG3">
        <f t="shared" si="19"/>
        <v>0.14809353173419629</v>
      </c>
      <c r="BH3">
        <f t="shared" si="20"/>
        <v>1.3382789442152318E-5</v>
      </c>
      <c r="BI3">
        <f t="shared" si="21"/>
        <v>0.30369069005051974</v>
      </c>
      <c r="BJ3">
        <f t="shared" si="22"/>
        <v>1.7354961080948601</v>
      </c>
      <c r="BK3">
        <f t="shared" si="23"/>
        <v>0.30369069005051974</v>
      </c>
      <c r="BL3">
        <f t="shared" ref="BL3:BL66" si="34">BK3+AM3</f>
        <v>1.5741683345447912</v>
      </c>
      <c r="BM3">
        <f t="shared" ref="BM3:BM66" si="35">2*BF3+BG3+3/2*BH3</f>
        <v>0.15557708413216023</v>
      </c>
      <c r="BN3">
        <f t="shared" ref="BN3:BN66" si="36">2*BF3+BG3*2+3*BH3</f>
        <v>0.30369069005051974</v>
      </c>
      <c r="BO3" s="5">
        <f t="shared" si="24"/>
        <v>1.5741683345447912</v>
      </c>
      <c r="BP3" s="5">
        <f t="shared" si="25"/>
        <v>0.3150799064521928</v>
      </c>
      <c r="BQ3" s="4">
        <f t="shared" ref="BQ3:BQ66" si="37">AJ3*2</f>
        <v>3.7784964819815601</v>
      </c>
      <c r="BR3" s="5">
        <f t="shared" si="26"/>
        <v>0.14541420570976551</v>
      </c>
      <c r="BS3">
        <f t="shared" si="27"/>
        <v>20.451885993848325</v>
      </c>
      <c r="BT3">
        <f t="shared" si="28"/>
        <v>20.148195303797806</v>
      </c>
      <c r="BU3">
        <f t="shared" ref="BU3:BU66" si="38">BT3-AM3</f>
        <v>18.877717659303535</v>
      </c>
      <c r="BV3">
        <f t="shared" ref="BV3:BV66" si="39">BJ3</f>
        <v>1.7354961080948601</v>
      </c>
      <c r="BW3">
        <f t="shared" ref="BW3:BW66" si="40">BN3</f>
        <v>0.30369069005051974</v>
      </c>
      <c r="BX3" s="4">
        <f t="shared" ref="BX3:BX66" si="41">AK3*2</f>
        <v>4.0783735962907599</v>
      </c>
      <c r="BY3">
        <f t="shared" ref="BY3:BY66" si="42">AK3/(BX3+BN3)*BW3</f>
        <v>0.14132199014080143</v>
      </c>
      <c r="BZ3">
        <f t="shared" ref="BZ3:BZ66" si="43">BV3/BY3*AK3</f>
        <v>25.042109499970678</v>
      </c>
      <c r="CA3">
        <f t="shared" ref="CA3:CA66" si="44">BZ3-BJ3</f>
        <v>23.306613391875818</v>
      </c>
    </row>
    <row r="4" spans="1:79" x14ac:dyDescent="0.25">
      <c r="A4">
        <v>3</v>
      </c>
      <c r="B4">
        <v>1.54143585092054E-3</v>
      </c>
      <c r="C4">
        <v>1.54143585092054E-3</v>
      </c>
      <c r="D4">
        <v>3.4254130020456501E-4</v>
      </c>
      <c r="E4">
        <v>0</v>
      </c>
      <c r="F4">
        <v>0</v>
      </c>
      <c r="G4">
        <v>0</v>
      </c>
      <c r="H4" s="5">
        <v>1.6300358850230801E-5</v>
      </c>
      <c r="I4" s="5">
        <v>7.4474859607128495E-7</v>
      </c>
      <c r="J4">
        <v>3.2385704147932398E-4</v>
      </c>
      <c r="K4">
        <v>8.07271092797512E-2</v>
      </c>
      <c r="L4">
        <v>8.15504849440159E-2</v>
      </c>
      <c r="M4">
        <v>9.8897848995466706E-4</v>
      </c>
      <c r="N4" t="s">
        <v>52</v>
      </c>
      <c r="O4">
        <v>0.1</v>
      </c>
      <c r="P4">
        <v>6</v>
      </c>
      <c r="Q4">
        <v>1.6455478770638001E-3</v>
      </c>
      <c r="R4">
        <v>1.66233163271225E-3</v>
      </c>
      <c r="S4">
        <v>2.0159416943409301E-5</v>
      </c>
      <c r="T4">
        <v>0</v>
      </c>
      <c r="U4">
        <v>0</v>
      </c>
      <c r="V4">
        <v>0</v>
      </c>
      <c r="W4">
        <v>1.60744374164569E-3</v>
      </c>
      <c r="X4">
        <v>6.4579829374686502E-5</v>
      </c>
      <c r="Y4">
        <v>2.0022472818809102E-5</v>
      </c>
      <c r="Z4">
        <v>1.75996255360512E-3</v>
      </c>
      <c r="AA4">
        <v>7.3797327061053505E-2</v>
      </c>
      <c r="AB4">
        <v>6.3252066629497999E-6</v>
      </c>
      <c r="AC4">
        <v>0.1</v>
      </c>
      <c r="AD4">
        <v>100</v>
      </c>
      <c r="AE4">
        <v>18.892482409907799</v>
      </c>
      <c r="AF4">
        <v>92.6825353019658</v>
      </c>
      <c r="AG4">
        <v>20.066267141911499</v>
      </c>
      <c r="AH4">
        <f t="shared" si="0"/>
        <v>1.88924824099078</v>
      </c>
      <c r="AI4">
        <f t="shared" si="29"/>
        <v>2.00662671419115</v>
      </c>
      <c r="AJ4">
        <f t="shared" si="30"/>
        <v>1.88924824099078</v>
      </c>
      <c r="AK4">
        <f t="shared" ref="AK4:AK66" si="45">AI4</f>
        <v>2.00662671419115</v>
      </c>
      <c r="AL4">
        <f t="shared" si="1"/>
        <v>0.61877059649650878</v>
      </c>
      <c r="AM4">
        <f t="shared" si="31"/>
        <v>1.2704776444942714</v>
      </c>
      <c r="AN4">
        <f t="shared" si="32"/>
        <v>0.61877059649650867</v>
      </c>
      <c r="AO4" s="5">
        <f t="shared" si="2"/>
        <v>1.6300358850230802E-3</v>
      </c>
      <c r="AP4" s="5">
        <f t="shared" si="3"/>
        <v>7.4474859607128499E-5</v>
      </c>
      <c r="AQ4" s="5">
        <f t="shared" si="4"/>
        <v>3.2385704147932397E-2</v>
      </c>
      <c r="AR4">
        <f t="shared" si="33"/>
        <v>10</v>
      </c>
      <c r="AS4" s="5">
        <f t="shared" si="5"/>
        <v>0.154143585092054</v>
      </c>
      <c r="AT4" s="8">
        <f t="shared" si="6"/>
        <v>0.154143585092054</v>
      </c>
      <c r="AU4" s="5">
        <f t="shared" si="7"/>
        <v>3.4254130020456498E-2</v>
      </c>
      <c r="AV4" s="5">
        <f t="shared" si="8"/>
        <v>0.15251354920703092</v>
      </c>
      <c r="AW4" s="8">
        <f t="shared" si="9"/>
        <v>0.15406911023244688</v>
      </c>
      <c r="AX4" s="5">
        <f t="shared" si="10"/>
        <v>1.8684258725241015E-3</v>
      </c>
      <c r="AY4" s="5">
        <f t="shared" si="11"/>
        <v>0.14898196133100067</v>
      </c>
      <c r="AZ4">
        <f t="shared" si="12"/>
        <v>5.9854223158143094E-3</v>
      </c>
      <c r="BA4">
        <f t="shared" si="13"/>
        <v>1.8557335438619251E-3</v>
      </c>
      <c r="BB4" s="5">
        <f t="shared" si="14"/>
        <v>94.999999999909207</v>
      </c>
      <c r="BC4" s="5">
        <f t="shared" si="15"/>
        <v>0.1568231171906769</v>
      </c>
      <c r="BD4" s="5">
        <f t="shared" si="16"/>
        <v>0.30673294529360856</v>
      </c>
      <c r="BE4" s="16">
        <f t="shared" si="17"/>
        <v>0.31550196792521573</v>
      </c>
      <c r="BF4">
        <f t="shared" si="18"/>
        <v>3.5315878760401077E-3</v>
      </c>
      <c r="BG4">
        <f t="shared" si="19"/>
        <v>0.14808368791661145</v>
      </c>
      <c r="BH4">
        <f t="shared" si="20"/>
        <v>1.2692328662654925E-5</v>
      </c>
      <c r="BI4">
        <f t="shared" si="21"/>
        <v>0.30326862857129105</v>
      </c>
      <c r="BJ4">
        <f t="shared" si="22"/>
        <v>1.7033580856198589</v>
      </c>
      <c r="BK4">
        <f t="shared" si="23"/>
        <v>0.30326862857129105</v>
      </c>
      <c r="BL4">
        <f t="shared" si="34"/>
        <v>1.5737462730655625</v>
      </c>
      <c r="BM4">
        <f t="shared" si="35"/>
        <v>0.15516590216168563</v>
      </c>
      <c r="BN4">
        <f t="shared" si="36"/>
        <v>0.30326862857129105</v>
      </c>
      <c r="BO4" s="5">
        <f t="shared" si="24"/>
        <v>1.5737462730655625</v>
      </c>
      <c r="BP4" s="5">
        <f t="shared" si="25"/>
        <v>0.31550196792521573</v>
      </c>
      <c r="BQ4" s="4">
        <f t="shared" si="37"/>
        <v>3.7784964819815601</v>
      </c>
      <c r="BR4" s="5">
        <f t="shared" si="26"/>
        <v>0.14559398231951365</v>
      </c>
      <c r="BS4">
        <f t="shared" si="27"/>
        <v>20.421155674072242</v>
      </c>
      <c r="BT4">
        <f t="shared" si="28"/>
        <v>20.11788704550095</v>
      </c>
      <c r="BU4">
        <f t="shared" si="38"/>
        <v>18.847409401006679</v>
      </c>
      <c r="BV4">
        <f t="shared" si="39"/>
        <v>1.7033580856198589</v>
      </c>
      <c r="BW4">
        <f t="shared" si="40"/>
        <v>0.30326862857129105</v>
      </c>
      <c r="BX4" s="4">
        <f t="shared" si="41"/>
        <v>4.0132534283823</v>
      </c>
      <c r="BY4">
        <f t="shared" si="42"/>
        <v>0.14098084606956726</v>
      </c>
      <c r="BZ4">
        <f t="shared" si="43"/>
        <v>24.244455425892994</v>
      </c>
      <c r="CA4">
        <f t="shared" si="44"/>
        <v>22.541097340273136</v>
      </c>
    </row>
    <row r="5" spans="1:79" x14ac:dyDescent="0.25">
      <c r="A5">
        <v>3</v>
      </c>
      <c r="B5">
        <v>1.54143585092054E-3</v>
      </c>
      <c r="C5">
        <v>1.54143585092054E-3</v>
      </c>
      <c r="D5">
        <v>3.4254130020456501E-4</v>
      </c>
      <c r="E5">
        <v>0</v>
      </c>
      <c r="F5">
        <v>0</v>
      </c>
      <c r="G5">
        <v>0</v>
      </c>
      <c r="H5" s="5">
        <v>1.6300358850230801E-5</v>
      </c>
      <c r="I5" s="5">
        <v>7.4474859607128495E-7</v>
      </c>
      <c r="J5">
        <v>3.2385704147932398E-4</v>
      </c>
      <c r="K5">
        <v>8.07271092797512E-2</v>
      </c>
      <c r="L5">
        <v>8.15504849440159E-2</v>
      </c>
      <c r="M5">
        <v>9.8897848995466706E-4</v>
      </c>
      <c r="N5" t="s">
        <v>52</v>
      </c>
      <c r="O5">
        <v>0.1</v>
      </c>
      <c r="P5">
        <v>7</v>
      </c>
      <c r="Q5">
        <v>1.6455478770638001E-3</v>
      </c>
      <c r="R5">
        <v>1.66233163271225E-3</v>
      </c>
      <c r="S5">
        <v>2.0159416943409301E-5</v>
      </c>
      <c r="T5">
        <v>0</v>
      </c>
      <c r="U5">
        <v>0</v>
      </c>
      <c r="V5">
        <v>0</v>
      </c>
      <c r="W5">
        <v>1.60808949136668E-3</v>
      </c>
      <c r="X5">
        <v>6.4611588564249294E-5</v>
      </c>
      <c r="Y5">
        <v>2.0024700455054798E-5</v>
      </c>
      <c r="Z5">
        <v>1.7385721005278799E-3</v>
      </c>
      <c r="AA5">
        <v>7.4155664786925493E-2</v>
      </c>
      <c r="AB5">
        <v>6.2526540793269999E-6</v>
      </c>
      <c r="AC5">
        <v>0.1</v>
      </c>
      <c r="AD5">
        <v>100</v>
      </c>
      <c r="AE5">
        <v>18.892482409907799</v>
      </c>
      <c r="AF5">
        <v>92.6825353019658</v>
      </c>
      <c r="AG5">
        <v>19.968905250902498</v>
      </c>
      <c r="AH5">
        <f t="shared" si="0"/>
        <v>1.88924824099078</v>
      </c>
      <c r="AI5">
        <f t="shared" si="29"/>
        <v>1.99689052509025</v>
      </c>
      <c r="AJ5">
        <f t="shared" si="30"/>
        <v>1.88924824099078</v>
      </c>
      <c r="AK5">
        <f t="shared" si="45"/>
        <v>1.99689052509025</v>
      </c>
      <c r="AL5">
        <f t="shared" si="1"/>
        <v>0.61877059649650878</v>
      </c>
      <c r="AM5">
        <f t="shared" si="31"/>
        <v>1.2704776444942714</v>
      </c>
      <c r="AN5">
        <f t="shared" si="32"/>
        <v>0.61877059649650867</v>
      </c>
      <c r="AO5" s="5">
        <f t="shared" si="2"/>
        <v>1.6300358850230802E-3</v>
      </c>
      <c r="AP5" s="5">
        <f t="shared" si="3"/>
        <v>7.4474859607128499E-5</v>
      </c>
      <c r="AQ5" s="5">
        <f t="shared" si="4"/>
        <v>3.2385704147932397E-2</v>
      </c>
      <c r="AR5">
        <f t="shared" si="33"/>
        <v>10</v>
      </c>
      <c r="AS5" s="5">
        <f t="shared" si="5"/>
        <v>0.154143585092054</v>
      </c>
      <c r="AT5" s="8">
        <f t="shared" si="6"/>
        <v>0.154143585092054</v>
      </c>
      <c r="AU5" s="5">
        <f t="shared" si="7"/>
        <v>3.4254130020456498E-2</v>
      </c>
      <c r="AV5" s="5">
        <f t="shared" si="8"/>
        <v>0.15251354920703092</v>
      </c>
      <c r="AW5" s="8">
        <f t="shared" si="9"/>
        <v>0.15406911023244688</v>
      </c>
      <c r="AX5" s="5">
        <f t="shared" si="10"/>
        <v>1.8684258725241015E-3</v>
      </c>
      <c r="AY5" s="5">
        <f t="shared" si="11"/>
        <v>0.14904181105231254</v>
      </c>
      <c r="AZ5">
        <f t="shared" si="12"/>
        <v>5.9883658380221246E-3</v>
      </c>
      <c r="BA5">
        <f t="shared" si="13"/>
        <v>1.8559400068369071E-3</v>
      </c>
      <c r="BB5" s="5">
        <f t="shared" si="14"/>
        <v>94.999999999999702</v>
      </c>
      <c r="BC5" s="5">
        <f t="shared" si="15"/>
        <v>0.15688611689717158</v>
      </c>
      <c r="BD5" s="5">
        <f t="shared" si="16"/>
        <v>0.30685589795290258</v>
      </c>
      <c r="BE5" s="16">
        <f t="shared" si="17"/>
        <v>0.31562817380118002</v>
      </c>
      <c r="BF5">
        <f t="shared" si="18"/>
        <v>3.4717381547303772E-3</v>
      </c>
      <c r="BG5">
        <f t="shared" si="19"/>
        <v>0.14808074439478022</v>
      </c>
      <c r="BH5">
        <f t="shared" si="20"/>
        <v>1.2485865687674987E-5</v>
      </c>
      <c r="BI5">
        <f t="shared" si="21"/>
        <v>0.30314242269608421</v>
      </c>
      <c r="BJ5">
        <f t="shared" si="22"/>
        <v>1.6937481023941658</v>
      </c>
      <c r="BK5">
        <f t="shared" si="23"/>
        <v>0.30314242269608421</v>
      </c>
      <c r="BL5">
        <f t="shared" si="34"/>
        <v>1.5736200671903555</v>
      </c>
      <c r="BM5">
        <f t="shared" si="35"/>
        <v>0.1550429495027725</v>
      </c>
      <c r="BN5">
        <f t="shared" si="36"/>
        <v>0.30314242269608421</v>
      </c>
      <c r="BO5" s="5">
        <f t="shared" si="24"/>
        <v>1.5736200671903555</v>
      </c>
      <c r="BP5" s="5">
        <f t="shared" si="25"/>
        <v>0.31562817380118002</v>
      </c>
      <c r="BQ5" s="4">
        <f t="shared" si="37"/>
        <v>3.7784964819815601</v>
      </c>
      <c r="BR5" s="5">
        <f t="shared" si="26"/>
        <v>0.14564773237150183</v>
      </c>
      <c r="BS5">
        <f t="shared" si="27"/>
        <v>20.4119823599044</v>
      </c>
      <c r="BT5">
        <f t="shared" si="28"/>
        <v>20.108839937208316</v>
      </c>
      <c r="BU5">
        <f t="shared" si="38"/>
        <v>18.838362292714045</v>
      </c>
      <c r="BV5">
        <f t="shared" si="39"/>
        <v>1.6937481023941658</v>
      </c>
      <c r="BW5">
        <f t="shared" si="40"/>
        <v>0.30314242269608421</v>
      </c>
      <c r="BX5" s="4">
        <f t="shared" si="41"/>
        <v>3.9937810501805</v>
      </c>
      <c r="BY5">
        <f t="shared" si="42"/>
        <v>0.1408780573952057</v>
      </c>
      <c r="BZ5">
        <f t="shared" si="43"/>
        <v>24.00820681443896</v>
      </c>
      <c r="CA5">
        <f t="shared" si="44"/>
        <v>22.314458712044793</v>
      </c>
    </row>
    <row r="6" spans="1:79" x14ac:dyDescent="0.25">
      <c r="A6">
        <v>3</v>
      </c>
      <c r="B6">
        <v>1.54143585092054E-3</v>
      </c>
      <c r="C6">
        <v>1.54143585092054E-3</v>
      </c>
      <c r="D6">
        <v>3.4254130020456501E-4</v>
      </c>
      <c r="E6">
        <v>0</v>
      </c>
      <c r="F6">
        <v>0</v>
      </c>
      <c r="G6">
        <v>0</v>
      </c>
      <c r="H6" s="5">
        <v>1.6300358850230801E-5</v>
      </c>
      <c r="I6" s="5">
        <v>7.4474859607128495E-7</v>
      </c>
      <c r="J6">
        <v>3.2385704147932398E-4</v>
      </c>
      <c r="K6">
        <v>8.07271092797512E-2</v>
      </c>
      <c r="L6">
        <v>8.15504849440159E-2</v>
      </c>
      <c r="M6">
        <v>9.8897848995466706E-4</v>
      </c>
      <c r="N6" t="s">
        <v>52</v>
      </c>
      <c r="O6">
        <v>0.1</v>
      </c>
      <c r="P6">
        <v>8</v>
      </c>
      <c r="Q6">
        <v>1.6455478770638001E-3</v>
      </c>
      <c r="R6">
        <v>1.66233163271225E-3</v>
      </c>
      <c r="S6">
        <v>2.0159416943409301E-5</v>
      </c>
      <c r="T6">
        <v>0</v>
      </c>
      <c r="U6">
        <v>0</v>
      </c>
      <c r="V6">
        <v>0</v>
      </c>
      <c r="W6">
        <v>1.60827767677345E-3</v>
      </c>
      <c r="X6">
        <v>6.4620843878105105E-5</v>
      </c>
      <c r="Y6">
        <v>2.0025349636286901E-5</v>
      </c>
      <c r="Z6">
        <v>1.7322991543913E-3</v>
      </c>
      <c r="AA6">
        <v>7.4260750598247896E-2</v>
      </c>
      <c r="AB6">
        <v>6.23137737256415E-6</v>
      </c>
      <c r="AC6">
        <v>0.1</v>
      </c>
      <c r="AD6">
        <v>100</v>
      </c>
      <c r="AE6">
        <v>18.892482409907799</v>
      </c>
      <c r="AF6">
        <v>92.6825353019658</v>
      </c>
      <c r="AG6">
        <v>19.940531895758401</v>
      </c>
      <c r="AH6">
        <f t="shared" si="0"/>
        <v>1.88924824099078</v>
      </c>
      <c r="AI6">
        <f t="shared" si="29"/>
        <v>1.9940531895758402</v>
      </c>
      <c r="AJ6">
        <f t="shared" si="30"/>
        <v>1.88924824099078</v>
      </c>
      <c r="AK6">
        <f t="shared" si="45"/>
        <v>1.9940531895758402</v>
      </c>
      <c r="AL6">
        <f t="shared" si="1"/>
        <v>0.61877059649650878</v>
      </c>
      <c r="AM6">
        <f t="shared" si="31"/>
        <v>1.2704776444942714</v>
      </c>
      <c r="AN6">
        <f t="shared" si="32"/>
        <v>0.61877059649650867</v>
      </c>
      <c r="AO6" s="5">
        <f t="shared" si="2"/>
        <v>1.6300358850230802E-3</v>
      </c>
      <c r="AP6" s="5">
        <f t="shared" si="3"/>
        <v>7.4474859607128499E-5</v>
      </c>
      <c r="AQ6" s="5">
        <f t="shared" si="4"/>
        <v>3.2385704147932397E-2</v>
      </c>
      <c r="AR6">
        <f t="shared" si="33"/>
        <v>10</v>
      </c>
      <c r="AS6" s="5">
        <f t="shared" si="5"/>
        <v>0.154143585092054</v>
      </c>
      <c r="AT6" s="8">
        <f t="shared" si="6"/>
        <v>0.154143585092054</v>
      </c>
      <c r="AU6" s="5">
        <f t="shared" si="7"/>
        <v>3.4254130020456498E-2</v>
      </c>
      <c r="AV6" s="5">
        <f t="shared" si="8"/>
        <v>0.15251354920703092</v>
      </c>
      <c r="AW6" s="8">
        <f t="shared" si="9"/>
        <v>0.15406911023244688</v>
      </c>
      <c r="AX6" s="5">
        <f t="shared" si="10"/>
        <v>1.8684258725241015E-3</v>
      </c>
      <c r="AY6" s="5">
        <f t="shared" si="11"/>
        <v>0.14905925255291883</v>
      </c>
      <c r="AZ6">
        <f t="shared" si="12"/>
        <v>5.9892236439752968E-3</v>
      </c>
      <c r="BA6">
        <f t="shared" si="13"/>
        <v>1.8560001745993688E-3</v>
      </c>
      <c r="BB6" s="5">
        <f t="shared" si="14"/>
        <v>95</v>
      </c>
      <c r="BC6" s="5">
        <f t="shared" si="15"/>
        <v>0.15690447637149349</v>
      </c>
      <c r="BD6" s="5">
        <f t="shared" si="16"/>
        <v>0.30689172901171202</v>
      </c>
      <c r="BE6" s="16">
        <f t="shared" si="17"/>
        <v>0.31566495291758639</v>
      </c>
      <c r="BF6">
        <f t="shared" si="18"/>
        <v>3.4542966541135024E-3</v>
      </c>
      <c r="BG6">
        <f t="shared" si="19"/>
        <v>0.14807988659073221</v>
      </c>
      <c r="BH6">
        <f t="shared" si="20"/>
        <v>1.2425697925212263E-5</v>
      </c>
      <c r="BI6">
        <f t="shared" si="21"/>
        <v>0.30310564358346709</v>
      </c>
      <c r="BJ6">
        <f t="shared" si="22"/>
        <v>1.6909475459923731</v>
      </c>
      <c r="BK6">
        <f t="shared" si="23"/>
        <v>0.30310564358346709</v>
      </c>
      <c r="BL6">
        <f t="shared" si="34"/>
        <v>1.5735832880777385</v>
      </c>
      <c r="BM6">
        <f t="shared" si="35"/>
        <v>0.15500711844584705</v>
      </c>
      <c r="BN6">
        <f t="shared" si="36"/>
        <v>0.30310564358346709</v>
      </c>
      <c r="BO6" s="5">
        <f t="shared" si="24"/>
        <v>1.5735832880777385</v>
      </c>
      <c r="BP6" s="5">
        <f t="shared" si="25"/>
        <v>0.31566495291758639</v>
      </c>
      <c r="BQ6" s="4">
        <f t="shared" si="37"/>
        <v>3.7784964819815601</v>
      </c>
      <c r="BR6" s="5">
        <f t="shared" si="26"/>
        <v>0.14566339567327738</v>
      </c>
      <c r="BS6">
        <f t="shared" si="27"/>
        <v>20.409310419493025</v>
      </c>
      <c r="BT6">
        <f t="shared" si="28"/>
        <v>20.106204775909557</v>
      </c>
      <c r="BU6">
        <f t="shared" si="38"/>
        <v>18.835727131415286</v>
      </c>
      <c r="BV6">
        <f t="shared" si="39"/>
        <v>1.6909475459923731</v>
      </c>
      <c r="BW6">
        <f t="shared" si="40"/>
        <v>0.30310564358346709</v>
      </c>
      <c r="BX6" s="4">
        <f t="shared" si="41"/>
        <v>3.9881063791516804</v>
      </c>
      <c r="BY6">
        <f t="shared" si="42"/>
        <v>0.14084803364733542</v>
      </c>
      <c r="BZ6">
        <f t="shared" si="43"/>
        <v>23.939555705365152</v>
      </c>
      <c r="CA6">
        <f t="shared" si="44"/>
        <v>22.248608159372779</v>
      </c>
    </row>
    <row r="7" spans="1:79" x14ac:dyDescent="0.25">
      <c r="A7">
        <v>3</v>
      </c>
      <c r="B7">
        <v>1.54143585092054E-3</v>
      </c>
      <c r="C7">
        <v>1.54143585092054E-3</v>
      </c>
      <c r="D7">
        <v>3.4254130020456501E-4</v>
      </c>
      <c r="E7">
        <v>0</v>
      </c>
      <c r="F7">
        <v>0</v>
      </c>
      <c r="G7">
        <v>0</v>
      </c>
      <c r="H7" s="5">
        <v>1.6300358850230801E-5</v>
      </c>
      <c r="I7" s="5">
        <v>7.4474859607128495E-7</v>
      </c>
      <c r="J7">
        <v>3.2385704147932398E-4</v>
      </c>
      <c r="K7">
        <v>8.07271092797512E-2</v>
      </c>
      <c r="L7">
        <v>8.15504849440159E-2</v>
      </c>
      <c r="M7">
        <v>9.8897848995466706E-4</v>
      </c>
      <c r="N7" t="s">
        <v>52</v>
      </c>
      <c r="O7">
        <v>0.1</v>
      </c>
      <c r="P7">
        <v>9</v>
      </c>
      <c r="Q7">
        <v>1.6455478770638001E-3</v>
      </c>
      <c r="R7">
        <v>1.66233163271225E-3</v>
      </c>
      <c r="S7">
        <v>2.0159416943409301E-5</v>
      </c>
      <c r="T7">
        <v>0</v>
      </c>
      <c r="U7">
        <v>0</v>
      </c>
      <c r="V7">
        <v>0</v>
      </c>
      <c r="W7">
        <v>1.6083318712016E-3</v>
      </c>
      <c r="X7">
        <v>6.46235091896047E-5</v>
      </c>
      <c r="Y7">
        <v>2.0025536590245201E-5</v>
      </c>
      <c r="Z7">
        <v>1.7304893324093099E-3</v>
      </c>
      <c r="AA7">
        <v>7.4291069145050903E-2</v>
      </c>
      <c r="AB7">
        <v>6.2252387814425299E-6</v>
      </c>
      <c r="AC7">
        <v>0.1</v>
      </c>
      <c r="AD7">
        <v>100</v>
      </c>
      <c r="AE7">
        <v>18.892482409907799</v>
      </c>
      <c r="AF7">
        <v>92.6825353019658</v>
      </c>
      <c r="AG7">
        <v>19.9323608202135</v>
      </c>
      <c r="AH7">
        <f t="shared" si="0"/>
        <v>1.88924824099078</v>
      </c>
      <c r="AI7">
        <f t="shared" si="29"/>
        <v>1.9932360820213502</v>
      </c>
      <c r="AJ7">
        <f t="shared" si="30"/>
        <v>1.88924824099078</v>
      </c>
      <c r="AK7">
        <f t="shared" si="45"/>
        <v>1.9932360820213502</v>
      </c>
      <c r="AL7">
        <f t="shared" si="1"/>
        <v>0.61877059649650878</v>
      </c>
      <c r="AM7">
        <f t="shared" si="31"/>
        <v>1.2704776444942714</v>
      </c>
      <c r="AN7">
        <f t="shared" si="32"/>
        <v>0.61877059649650867</v>
      </c>
      <c r="AO7" s="5">
        <f t="shared" si="2"/>
        <v>1.6300358850230802E-3</v>
      </c>
      <c r="AP7" s="5">
        <f t="shared" si="3"/>
        <v>7.4474859607128499E-5</v>
      </c>
      <c r="AQ7" s="5">
        <f t="shared" si="4"/>
        <v>3.2385704147932397E-2</v>
      </c>
      <c r="AR7">
        <f t="shared" si="33"/>
        <v>10</v>
      </c>
      <c r="AS7" s="5">
        <f t="shared" si="5"/>
        <v>0.154143585092054</v>
      </c>
      <c r="AT7" s="8">
        <f t="shared" si="6"/>
        <v>0.154143585092054</v>
      </c>
      <c r="AU7" s="5">
        <f t="shared" si="7"/>
        <v>3.4254130020456498E-2</v>
      </c>
      <c r="AV7" s="5">
        <f t="shared" si="8"/>
        <v>0.15251354920703092</v>
      </c>
      <c r="AW7" s="8">
        <f t="shared" si="9"/>
        <v>0.15406911023244688</v>
      </c>
      <c r="AX7" s="5">
        <f t="shared" si="10"/>
        <v>1.8684258725241015E-3</v>
      </c>
      <c r="AY7" s="5">
        <f t="shared" si="11"/>
        <v>0.14906427542991901</v>
      </c>
      <c r="AZ7">
        <f t="shared" si="12"/>
        <v>5.989470671802449E-3</v>
      </c>
      <c r="BA7">
        <f t="shared" si="13"/>
        <v>1.8560175019662086E-3</v>
      </c>
      <c r="BB7" s="5">
        <f t="shared" si="14"/>
        <v>95.000000004088804</v>
      </c>
      <c r="BC7" s="5">
        <f t="shared" si="15"/>
        <v>0.15690976360368766</v>
      </c>
      <c r="BD7" s="5">
        <f t="shared" si="16"/>
        <v>0.30690204778458979</v>
      </c>
      <c r="BE7" s="16">
        <f t="shared" si="17"/>
        <v>0.31567554470934156</v>
      </c>
      <c r="BF7">
        <f t="shared" si="18"/>
        <v>3.4492737769112746E-3</v>
      </c>
      <c r="BG7">
        <f t="shared" si="19"/>
        <v>0.14807963959185849</v>
      </c>
      <c r="BH7">
        <f t="shared" si="20"/>
        <v>1.2408370558369873E-5</v>
      </c>
      <c r="BI7">
        <f t="shared" si="21"/>
        <v>0.30309505184921465</v>
      </c>
      <c r="BJ7">
        <f t="shared" si="22"/>
        <v>1.6901410301721356</v>
      </c>
      <c r="BK7">
        <f t="shared" si="23"/>
        <v>0.30309505184921465</v>
      </c>
      <c r="BL7">
        <f t="shared" si="34"/>
        <v>1.573572696343486</v>
      </c>
      <c r="BM7">
        <f t="shared" si="35"/>
        <v>0.15499679970151858</v>
      </c>
      <c r="BN7">
        <f t="shared" si="36"/>
        <v>0.30309505184921465</v>
      </c>
      <c r="BO7" s="5">
        <f t="shared" si="24"/>
        <v>1.573572696343486</v>
      </c>
      <c r="BP7" s="5">
        <f t="shared" si="25"/>
        <v>0.31567554470934156</v>
      </c>
      <c r="BQ7" s="4">
        <f t="shared" si="37"/>
        <v>3.7784964819815601</v>
      </c>
      <c r="BR7" s="5">
        <f t="shared" si="26"/>
        <v>0.14566790639912591</v>
      </c>
      <c r="BS7">
        <f t="shared" si="27"/>
        <v>20.4085410584022</v>
      </c>
      <c r="BT7">
        <f t="shared" si="28"/>
        <v>20.105446006552985</v>
      </c>
      <c r="BU7">
        <f t="shared" si="38"/>
        <v>18.834968362058714</v>
      </c>
      <c r="BV7">
        <f t="shared" si="39"/>
        <v>1.6901410301721356</v>
      </c>
      <c r="BW7">
        <f t="shared" si="40"/>
        <v>0.30309505184921465</v>
      </c>
      <c r="BX7" s="4">
        <f t="shared" si="41"/>
        <v>3.9864721640427003</v>
      </c>
      <c r="BY7">
        <f t="shared" si="42"/>
        <v>0.14083938150911335</v>
      </c>
      <c r="BZ7">
        <f t="shared" si="43"/>
        <v>23.919801755348143</v>
      </c>
      <c r="CA7">
        <f t="shared" si="44"/>
        <v>22.229660725176007</v>
      </c>
    </row>
    <row r="8" spans="1:79" x14ac:dyDescent="0.25">
      <c r="A8">
        <v>3</v>
      </c>
      <c r="B8">
        <v>1.54143585092054E-3</v>
      </c>
      <c r="C8">
        <v>1.54143585092054E-3</v>
      </c>
      <c r="D8">
        <v>3.4254130020456501E-4</v>
      </c>
      <c r="E8">
        <v>0</v>
      </c>
      <c r="F8">
        <v>0</v>
      </c>
      <c r="G8">
        <v>0</v>
      </c>
      <c r="H8" s="5">
        <v>1.6300358850230801E-5</v>
      </c>
      <c r="I8" s="5">
        <v>7.4474859607128495E-7</v>
      </c>
      <c r="J8">
        <v>3.2385704147932398E-4</v>
      </c>
      <c r="K8">
        <v>8.07271092797512E-2</v>
      </c>
      <c r="L8">
        <v>8.15504849440159E-2</v>
      </c>
      <c r="M8">
        <v>9.8897848995466706E-4</v>
      </c>
      <c r="N8" t="s">
        <v>52</v>
      </c>
      <c r="O8">
        <v>0.1</v>
      </c>
      <c r="P8">
        <v>10</v>
      </c>
      <c r="Q8">
        <v>1.6455478770638001E-3</v>
      </c>
      <c r="R8">
        <v>1.66233163271225E-3</v>
      </c>
      <c r="S8">
        <v>2.0159416943409301E-5</v>
      </c>
      <c r="T8">
        <v>0</v>
      </c>
      <c r="U8">
        <v>0</v>
      </c>
      <c r="V8">
        <v>0</v>
      </c>
      <c r="W8">
        <v>1.6083474060022401E-3</v>
      </c>
      <c r="X8">
        <v>6.4624273291128494E-5</v>
      </c>
      <c r="Y8">
        <v>2.0025590180477699E-5</v>
      </c>
      <c r="Z8">
        <v>1.7299702748473499E-3</v>
      </c>
      <c r="AA8">
        <v>7.42997645145482E-2</v>
      </c>
      <c r="AB8">
        <v>6.2234782314335099E-6</v>
      </c>
      <c r="AC8">
        <v>0.1</v>
      </c>
      <c r="AD8">
        <v>100</v>
      </c>
      <c r="AE8">
        <v>18.892482409907799</v>
      </c>
      <c r="AF8">
        <v>92.6825353019658</v>
      </c>
      <c r="AG8">
        <v>19.930018582065301</v>
      </c>
      <c r="AH8">
        <f t="shared" si="0"/>
        <v>1.88924824099078</v>
      </c>
      <c r="AI8">
        <f t="shared" si="29"/>
        <v>1.9930018582065303</v>
      </c>
      <c r="AJ8">
        <f t="shared" si="30"/>
        <v>1.88924824099078</v>
      </c>
      <c r="AK8">
        <f t="shared" si="45"/>
        <v>1.9930018582065303</v>
      </c>
      <c r="AL8">
        <f t="shared" si="1"/>
        <v>0.61877059649650878</v>
      </c>
      <c r="AM8">
        <f t="shared" si="31"/>
        <v>1.2704776444942714</v>
      </c>
      <c r="AN8">
        <f t="shared" si="32"/>
        <v>0.61877059649650867</v>
      </c>
      <c r="AO8" s="5">
        <f t="shared" si="2"/>
        <v>1.6300358850230802E-3</v>
      </c>
      <c r="AP8" s="5">
        <f t="shared" si="3"/>
        <v>7.4474859607128499E-5</v>
      </c>
      <c r="AQ8" s="5">
        <f t="shared" si="4"/>
        <v>3.2385704147932397E-2</v>
      </c>
      <c r="AR8">
        <f t="shared" si="33"/>
        <v>10</v>
      </c>
      <c r="AS8" s="5">
        <f t="shared" si="5"/>
        <v>0.154143585092054</v>
      </c>
      <c r="AT8" s="8">
        <f t="shared" si="6"/>
        <v>0.154143585092054</v>
      </c>
      <c r="AU8" s="5">
        <f t="shared" si="7"/>
        <v>3.4254130020456498E-2</v>
      </c>
      <c r="AV8" s="5">
        <f t="shared" si="8"/>
        <v>0.15251354920703092</v>
      </c>
      <c r="AW8" s="8">
        <f t="shared" si="9"/>
        <v>0.15406911023244688</v>
      </c>
      <c r="AX8" s="5">
        <f t="shared" si="10"/>
        <v>1.8684258725241015E-3</v>
      </c>
      <c r="AY8" s="5">
        <f t="shared" si="11"/>
        <v>0.14906571523462772</v>
      </c>
      <c r="AZ8">
        <f t="shared" si="12"/>
        <v>5.9895414906689023E-3</v>
      </c>
      <c r="BA8">
        <f t="shared" si="13"/>
        <v>1.856022468844824E-3</v>
      </c>
      <c r="BB8" s="5">
        <f t="shared" si="14"/>
        <v>95.000000000123208</v>
      </c>
      <c r="BC8" s="5">
        <f t="shared" si="15"/>
        <v>0.15691127919414147</v>
      </c>
      <c r="BD8" s="5">
        <f t="shared" si="16"/>
        <v>0.30690500566319157</v>
      </c>
      <c r="BE8" s="16">
        <f t="shared" si="17"/>
        <v>0.31567858085712774</v>
      </c>
      <c r="BF8">
        <f t="shared" si="18"/>
        <v>3.4478339724128304E-3</v>
      </c>
      <c r="BG8">
        <f t="shared" si="19"/>
        <v>0.14807956874180217</v>
      </c>
      <c r="BH8">
        <f t="shared" si="20"/>
        <v>1.2403403679754876E-5</v>
      </c>
      <c r="BI8">
        <f t="shared" si="21"/>
        <v>0.30309201563946925</v>
      </c>
      <c r="BJ8">
        <f t="shared" si="22"/>
        <v>1.6899098425670611</v>
      </c>
      <c r="BK8">
        <f t="shared" si="23"/>
        <v>0.30309201563946925</v>
      </c>
      <c r="BL8">
        <f t="shared" si="34"/>
        <v>1.5735696601337406</v>
      </c>
      <c r="BM8">
        <f t="shared" si="35"/>
        <v>0.15499384179214745</v>
      </c>
      <c r="BN8">
        <f t="shared" si="36"/>
        <v>0.30309201563946925</v>
      </c>
      <c r="BO8" s="5">
        <f t="shared" si="24"/>
        <v>1.5735696601337406</v>
      </c>
      <c r="BP8" s="5">
        <f t="shared" si="25"/>
        <v>0.31567858085712774</v>
      </c>
      <c r="BQ8" s="4">
        <f t="shared" si="37"/>
        <v>3.7784964819815601</v>
      </c>
      <c r="BR8" s="5">
        <f t="shared" si="26"/>
        <v>0.14566919939893458</v>
      </c>
      <c r="BS8">
        <f t="shared" si="27"/>
        <v>20.408320528642054</v>
      </c>
      <c r="BT8">
        <f t="shared" si="28"/>
        <v>20.105228513002587</v>
      </c>
      <c r="BU8">
        <f t="shared" si="38"/>
        <v>18.834750868508316</v>
      </c>
      <c r="BV8">
        <f t="shared" si="39"/>
        <v>1.6899098425670611</v>
      </c>
      <c r="BW8">
        <f t="shared" si="40"/>
        <v>0.30309201563946925</v>
      </c>
      <c r="BX8" s="4">
        <f t="shared" si="41"/>
        <v>3.9860037164130606</v>
      </c>
      <c r="BY8">
        <f t="shared" si="42"/>
        <v>0.14083690085601167</v>
      </c>
      <c r="BZ8">
        <f t="shared" si="43"/>
        <v>23.914140654664187</v>
      </c>
      <c r="CA8">
        <f t="shared" si="44"/>
        <v>22.224230812097126</v>
      </c>
    </row>
    <row r="9" spans="1:79" x14ac:dyDescent="0.25">
      <c r="A9">
        <v>3</v>
      </c>
      <c r="B9">
        <v>1.54143585092054E-3</v>
      </c>
      <c r="C9">
        <v>1.54143585092054E-3</v>
      </c>
      <c r="D9">
        <v>3.4254130020456501E-4</v>
      </c>
      <c r="E9">
        <v>0</v>
      </c>
      <c r="F9">
        <v>0</v>
      </c>
      <c r="G9">
        <v>0</v>
      </c>
      <c r="H9" s="5">
        <v>1.6300358850230801E-5</v>
      </c>
      <c r="I9" s="5">
        <v>7.4474859607128495E-7</v>
      </c>
      <c r="J9">
        <v>3.2385704147932398E-4</v>
      </c>
      <c r="K9">
        <v>8.07271092797512E-2</v>
      </c>
      <c r="L9">
        <v>8.15504849440159E-2</v>
      </c>
      <c r="M9">
        <v>9.8897848995466706E-4</v>
      </c>
      <c r="N9" t="s">
        <v>52</v>
      </c>
      <c r="O9">
        <v>0.1</v>
      </c>
      <c r="P9">
        <v>11</v>
      </c>
      <c r="Q9">
        <v>1.6455478770638001E-3</v>
      </c>
      <c r="R9">
        <v>1.66233163271225E-3</v>
      </c>
      <c r="S9">
        <v>2.0159416943409301E-5</v>
      </c>
      <c r="T9">
        <v>0</v>
      </c>
      <c r="U9">
        <v>0</v>
      </c>
      <c r="V9">
        <v>0</v>
      </c>
      <c r="W9">
        <v>1.60835185158262E-3</v>
      </c>
      <c r="X9">
        <v>6.4624491935312605E-5</v>
      </c>
      <c r="Y9">
        <v>2.0025605516349801E-5</v>
      </c>
      <c r="Z9">
        <v>1.72982171403333E-3</v>
      </c>
      <c r="AA9">
        <v>7.4302253238869895E-2</v>
      </c>
      <c r="AB9">
        <v>6.2229743398349396E-6</v>
      </c>
      <c r="AC9">
        <v>0.1</v>
      </c>
      <c r="AD9">
        <v>100</v>
      </c>
      <c r="AE9">
        <v>18.892482409907799</v>
      </c>
      <c r="AF9">
        <v>92.6825353019658</v>
      </c>
      <c r="AG9">
        <v>19.929348306734301</v>
      </c>
      <c r="AH9">
        <f t="shared" si="0"/>
        <v>1.88924824099078</v>
      </c>
      <c r="AI9">
        <f t="shared" si="29"/>
        <v>1.9929348306734302</v>
      </c>
      <c r="AJ9">
        <f t="shared" si="30"/>
        <v>1.88924824099078</v>
      </c>
      <c r="AK9">
        <f t="shared" si="45"/>
        <v>1.9929348306734302</v>
      </c>
      <c r="AL9">
        <f t="shared" si="1"/>
        <v>0.61877059649650878</v>
      </c>
      <c r="AM9">
        <f t="shared" si="31"/>
        <v>1.2704776444942714</v>
      </c>
      <c r="AN9">
        <f t="shared" si="32"/>
        <v>0.61877059649650867</v>
      </c>
      <c r="AO9" s="5">
        <f t="shared" si="2"/>
        <v>1.6300358850230802E-3</v>
      </c>
      <c r="AP9" s="5">
        <f t="shared" si="3"/>
        <v>7.4474859607128499E-5</v>
      </c>
      <c r="AQ9" s="5">
        <f t="shared" si="4"/>
        <v>3.2385704147932397E-2</v>
      </c>
      <c r="AR9">
        <f t="shared" si="33"/>
        <v>10</v>
      </c>
      <c r="AS9" s="5">
        <f t="shared" si="5"/>
        <v>0.154143585092054</v>
      </c>
      <c r="AT9" s="8">
        <f t="shared" si="6"/>
        <v>0.154143585092054</v>
      </c>
      <c r="AU9" s="5">
        <f t="shared" si="7"/>
        <v>3.4254130020456498E-2</v>
      </c>
      <c r="AV9" s="5">
        <f t="shared" si="8"/>
        <v>0.15251354920703092</v>
      </c>
      <c r="AW9" s="8">
        <f t="shared" si="9"/>
        <v>0.15406911023244688</v>
      </c>
      <c r="AX9" s="5">
        <f t="shared" si="10"/>
        <v>1.8684258725241015E-3</v>
      </c>
      <c r="AY9" s="5">
        <f t="shared" si="11"/>
        <v>0.14906612726228824</v>
      </c>
      <c r="AZ9">
        <f t="shared" si="12"/>
        <v>5.9895617551662143E-3</v>
      </c>
      <c r="BA9">
        <f t="shared" si="13"/>
        <v>1.8560238902123314E-3</v>
      </c>
      <c r="BB9" s="5">
        <f t="shared" si="14"/>
        <v>95.000000000003055</v>
      </c>
      <c r="BC9" s="5">
        <f t="shared" si="15"/>
        <v>0.15691171290766678</v>
      </c>
      <c r="BD9" s="5">
        <f t="shared" si="16"/>
        <v>0.30690585211506122</v>
      </c>
      <c r="BE9" s="16">
        <f t="shared" si="17"/>
        <v>0.3156794497055459</v>
      </c>
      <c r="BF9">
        <f t="shared" si="18"/>
        <v>3.4474219447522374E-3</v>
      </c>
      <c r="BG9">
        <f t="shared" si="19"/>
        <v>0.14807954847726151</v>
      </c>
      <c r="BH9">
        <f t="shared" si="20"/>
        <v>1.2401982312244047E-5</v>
      </c>
      <c r="BI9">
        <f t="shared" si="21"/>
        <v>0.30309114679096422</v>
      </c>
      <c r="BJ9">
        <f t="shared" si="22"/>
        <v>1.689843683882466</v>
      </c>
      <c r="BK9">
        <f t="shared" si="23"/>
        <v>0.30309114679096422</v>
      </c>
      <c r="BL9">
        <f t="shared" si="34"/>
        <v>1.5735687912852356</v>
      </c>
      <c r="BM9">
        <f t="shared" si="35"/>
        <v>0.15499299534023436</v>
      </c>
      <c r="BN9">
        <f t="shared" si="36"/>
        <v>0.30309114679096422</v>
      </c>
      <c r="BO9" s="5">
        <f t="shared" si="24"/>
        <v>1.5735687912852356</v>
      </c>
      <c r="BP9" s="5">
        <f t="shared" si="25"/>
        <v>0.3156794497055459</v>
      </c>
      <c r="BQ9" s="4">
        <f t="shared" si="37"/>
        <v>3.7784964819815601</v>
      </c>
      <c r="BR9" s="5">
        <f t="shared" si="26"/>
        <v>0.14566956941378431</v>
      </c>
      <c r="BS9">
        <f t="shared" si="27"/>
        <v>20.408257421074694</v>
      </c>
      <c r="BT9">
        <f t="shared" si="28"/>
        <v>20.105166274283729</v>
      </c>
      <c r="BU9">
        <f t="shared" si="38"/>
        <v>18.834688629789458</v>
      </c>
      <c r="BV9">
        <f t="shared" si="39"/>
        <v>1.689843683882466</v>
      </c>
      <c r="BW9">
        <f t="shared" si="40"/>
        <v>0.30309114679096422</v>
      </c>
      <c r="BX9" s="4">
        <f t="shared" si="41"/>
        <v>3.9858696613468605</v>
      </c>
      <c r="BY9">
        <f t="shared" si="42"/>
        <v>0.14083619093985794</v>
      </c>
      <c r="BZ9">
        <f t="shared" si="43"/>
        <v>23.912520734397141</v>
      </c>
      <c r="CA9">
        <f t="shared" si="44"/>
        <v>22.222677050514676</v>
      </c>
    </row>
    <row r="10" spans="1:79" x14ac:dyDescent="0.25">
      <c r="A10">
        <v>3</v>
      </c>
      <c r="B10">
        <v>1.54143585092054E-3</v>
      </c>
      <c r="C10">
        <v>1.54143585092054E-3</v>
      </c>
      <c r="D10">
        <v>3.4254130020456501E-4</v>
      </c>
      <c r="E10">
        <v>0</v>
      </c>
      <c r="F10">
        <v>0</v>
      </c>
      <c r="G10">
        <v>0</v>
      </c>
      <c r="H10" s="5">
        <v>1.6300358850230801E-5</v>
      </c>
      <c r="I10" s="5">
        <v>7.4474859607128495E-7</v>
      </c>
      <c r="J10">
        <v>3.2385704147932398E-4</v>
      </c>
      <c r="K10">
        <v>8.07271092797512E-2</v>
      </c>
      <c r="L10">
        <v>8.15504849440159E-2</v>
      </c>
      <c r="M10">
        <v>9.8897848995466706E-4</v>
      </c>
      <c r="N10" t="s">
        <v>52</v>
      </c>
      <c r="O10">
        <v>0.1</v>
      </c>
      <c r="P10">
        <v>12</v>
      </c>
      <c r="Q10">
        <v>1.6455478770638001E-3</v>
      </c>
      <c r="R10">
        <v>1.66233163271225E-3</v>
      </c>
      <c r="S10">
        <v>2.0159416943409301E-5</v>
      </c>
      <c r="T10">
        <v>0</v>
      </c>
      <c r="U10">
        <v>0</v>
      </c>
      <c r="V10">
        <v>0</v>
      </c>
      <c r="W10">
        <v>1.6083531230386601E-3</v>
      </c>
      <c r="X10">
        <v>6.4624554467975802E-5</v>
      </c>
      <c r="Y10">
        <v>2.0025609902478401E-5</v>
      </c>
      <c r="Z10">
        <v>1.72977922313241E-3</v>
      </c>
      <c r="AA10">
        <v>7.4302965056042405E-2</v>
      </c>
      <c r="AB10">
        <v>6.2228302183306801E-6</v>
      </c>
      <c r="AC10">
        <v>0.1</v>
      </c>
      <c r="AD10">
        <v>100</v>
      </c>
      <c r="AE10">
        <v>18.892482409907799</v>
      </c>
      <c r="AF10">
        <v>92.6825353019658</v>
      </c>
      <c r="AG10">
        <v>19.929156604973699</v>
      </c>
      <c r="AH10">
        <f t="shared" si="0"/>
        <v>1.88924824099078</v>
      </c>
      <c r="AI10">
        <f t="shared" si="29"/>
        <v>1.9929156604973699</v>
      </c>
      <c r="AJ10">
        <f t="shared" si="30"/>
        <v>1.88924824099078</v>
      </c>
      <c r="AK10">
        <f t="shared" si="45"/>
        <v>1.9929156604973699</v>
      </c>
      <c r="AL10">
        <f t="shared" si="1"/>
        <v>0.61877059649650878</v>
      </c>
      <c r="AM10">
        <f t="shared" si="31"/>
        <v>1.2704776444942714</v>
      </c>
      <c r="AN10">
        <f t="shared" si="32"/>
        <v>0.61877059649650867</v>
      </c>
      <c r="AO10" s="5">
        <f t="shared" si="2"/>
        <v>1.6300358850230802E-3</v>
      </c>
      <c r="AP10" s="5">
        <f t="shared" si="3"/>
        <v>7.4474859607128499E-5</v>
      </c>
      <c r="AQ10" s="5">
        <f t="shared" si="4"/>
        <v>3.2385704147932397E-2</v>
      </c>
      <c r="AR10">
        <f t="shared" si="33"/>
        <v>10</v>
      </c>
      <c r="AS10" s="5">
        <f t="shared" si="5"/>
        <v>0.154143585092054</v>
      </c>
      <c r="AT10" s="8">
        <f t="shared" si="6"/>
        <v>0.154143585092054</v>
      </c>
      <c r="AU10" s="5">
        <f t="shared" si="7"/>
        <v>3.4254130020456498E-2</v>
      </c>
      <c r="AV10" s="5">
        <f t="shared" si="8"/>
        <v>0.15251354920703092</v>
      </c>
      <c r="AW10" s="8">
        <f t="shared" si="9"/>
        <v>0.15406911023244688</v>
      </c>
      <c r="AX10" s="5">
        <f t="shared" si="10"/>
        <v>1.8684258725241015E-3</v>
      </c>
      <c r="AY10" s="5">
        <f t="shared" si="11"/>
        <v>0.14906624510405755</v>
      </c>
      <c r="AZ10">
        <f t="shared" si="12"/>
        <v>5.9895675508519789E-3</v>
      </c>
      <c r="BA10">
        <f t="shared" si="13"/>
        <v>1.8560242967298503E-3</v>
      </c>
      <c r="BB10" s="5">
        <f t="shared" si="14"/>
        <v>95.000000000000099</v>
      </c>
      <c r="BC10" s="5">
        <f t="shared" si="15"/>
        <v>0.15691183695163938</v>
      </c>
      <c r="BD10" s="5">
        <f t="shared" si="16"/>
        <v>0.3069060942040619</v>
      </c>
      <c r="BE10" s="16">
        <f t="shared" si="17"/>
        <v>0.31567969820000863</v>
      </c>
      <c r="BF10">
        <f t="shared" si="18"/>
        <v>3.4473041029835544E-3</v>
      </c>
      <c r="BG10">
        <f t="shared" si="19"/>
        <v>0.14807954268157575</v>
      </c>
      <c r="BH10">
        <f t="shared" si="20"/>
        <v>1.240157579472748E-5</v>
      </c>
      <c r="BI10">
        <f t="shared" si="21"/>
        <v>0.30309089829650276</v>
      </c>
      <c r="BJ10">
        <f t="shared" si="22"/>
        <v>1.6898247622008671</v>
      </c>
      <c r="BK10">
        <f t="shared" si="23"/>
        <v>0.30309089829650276</v>
      </c>
      <c r="BL10">
        <f t="shared" si="34"/>
        <v>1.5735685427907742</v>
      </c>
      <c r="BM10">
        <f t="shared" si="35"/>
        <v>0.15499275325123493</v>
      </c>
      <c r="BN10">
        <f t="shared" si="36"/>
        <v>0.30309089829650276</v>
      </c>
      <c r="BO10" s="5">
        <f t="shared" si="24"/>
        <v>1.5735685427907742</v>
      </c>
      <c r="BP10" s="5">
        <f t="shared" si="25"/>
        <v>0.31567969820000863</v>
      </c>
      <c r="BQ10" s="4">
        <f t="shared" si="37"/>
        <v>3.7784964819815601</v>
      </c>
      <c r="BR10" s="5">
        <f t="shared" si="26"/>
        <v>0.14566967523962723</v>
      </c>
      <c r="BS10">
        <f t="shared" si="27"/>
        <v>20.408239372096666</v>
      </c>
      <c r="BT10">
        <f t="shared" si="28"/>
        <v>20.105148473800163</v>
      </c>
      <c r="BU10">
        <f t="shared" si="38"/>
        <v>18.834670829305892</v>
      </c>
      <c r="BV10">
        <f t="shared" si="39"/>
        <v>1.6898247622008671</v>
      </c>
      <c r="BW10">
        <f t="shared" si="40"/>
        <v>0.30309089829650276</v>
      </c>
      <c r="BX10" s="4">
        <f t="shared" si="41"/>
        <v>3.9858313209947398</v>
      </c>
      <c r="BY10">
        <f t="shared" si="42"/>
        <v>0.1408359878974757</v>
      </c>
      <c r="BZ10">
        <f t="shared" si="43"/>
        <v>23.912057439025592</v>
      </c>
      <c r="CA10">
        <f t="shared" si="44"/>
        <v>22.222232676824724</v>
      </c>
    </row>
    <row r="11" spans="1:79" x14ac:dyDescent="0.25">
      <c r="A11">
        <v>3</v>
      </c>
      <c r="B11">
        <v>1.54143585092054E-3</v>
      </c>
      <c r="C11">
        <v>1.54143585092054E-3</v>
      </c>
      <c r="D11">
        <v>3.4254130020456501E-4</v>
      </c>
      <c r="E11">
        <v>0</v>
      </c>
      <c r="F11">
        <v>0</v>
      </c>
      <c r="G11">
        <v>0</v>
      </c>
      <c r="H11" s="5">
        <v>1.6300358850230801E-5</v>
      </c>
      <c r="I11" s="5">
        <v>7.4474859607128495E-7</v>
      </c>
      <c r="J11">
        <v>3.2385704147932398E-4</v>
      </c>
      <c r="K11">
        <v>8.07271092797512E-2</v>
      </c>
      <c r="L11">
        <v>8.15504849440159E-2</v>
      </c>
      <c r="M11">
        <v>9.8897848995466706E-4</v>
      </c>
      <c r="N11" t="s">
        <v>52</v>
      </c>
      <c r="O11">
        <v>0.1</v>
      </c>
      <c r="P11">
        <v>13</v>
      </c>
      <c r="Q11">
        <v>1.6455478770638001E-3</v>
      </c>
      <c r="R11">
        <v>1.66233163271225E-3</v>
      </c>
      <c r="S11">
        <v>2.0159416943409301E-5</v>
      </c>
      <c r="T11">
        <v>0</v>
      </c>
      <c r="U11">
        <v>0</v>
      </c>
      <c r="V11">
        <v>0</v>
      </c>
      <c r="W11">
        <v>1.60835348661086E-3</v>
      </c>
      <c r="X11">
        <v>6.4624572349144705E-5</v>
      </c>
      <c r="Y11">
        <v>2.0025611156689701E-5</v>
      </c>
      <c r="Z11">
        <v>1.72976707272807E-3</v>
      </c>
      <c r="AA11">
        <v>7.43031686023614E-2</v>
      </c>
      <c r="AB11">
        <v>6.2227890063413899E-6</v>
      </c>
      <c r="AC11">
        <v>0.1</v>
      </c>
      <c r="AD11">
        <v>100</v>
      </c>
      <c r="AE11">
        <v>18.892482409907799</v>
      </c>
      <c r="AF11">
        <v>92.6825353019658</v>
      </c>
      <c r="AG11">
        <v>19.929101787970101</v>
      </c>
      <c r="AH11">
        <f t="shared" si="0"/>
        <v>1.88924824099078</v>
      </c>
      <c r="AI11">
        <f t="shared" si="29"/>
        <v>1.9929101787970103</v>
      </c>
      <c r="AJ11">
        <f t="shared" si="30"/>
        <v>1.88924824099078</v>
      </c>
      <c r="AK11">
        <f t="shared" si="45"/>
        <v>1.9929101787970103</v>
      </c>
      <c r="AL11">
        <f t="shared" si="1"/>
        <v>0.61877059649650878</v>
      </c>
      <c r="AM11">
        <f t="shared" si="31"/>
        <v>1.2704776444942714</v>
      </c>
      <c r="AN11">
        <f t="shared" si="32"/>
        <v>0.61877059649650867</v>
      </c>
      <c r="AO11" s="5">
        <f t="shared" si="2"/>
        <v>1.6300358850230802E-3</v>
      </c>
      <c r="AP11" s="5">
        <f t="shared" si="3"/>
        <v>7.4474859607128499E-5</v>
      </c>
      <c r="AQ11" s="5">
        <f t="shared" si="4"/>
        <v>3.2385704147932397E-2</v>
      </c>
      <c r="AR11">
        <f t="shared" si="33"/>
        <v>10</v>
      </c>
      <c r="AS11" s="5">
        <f t="shared" si="5"/>
        <v>0.154143585092054</v>
      </c>
      <c r="AT11" s="8">
        <f t="shared" si="6"/>
        <v>0.154143585092054</v>
      </c>
      <c r="AU11" s="5">
        <f t="shared" si="7"/>
        <v>3.4254130020456498E-2</v>
      </c>
      <c r="AV11" s="5">
        <f t="shared" si="8"/>
        <v>0.15251354920703092</v>
      </c>
      <c r="AW11" s="8">
        <f t="shared" si="9"/>
        <v>0.15406911023244688</v>
      </c>
      <c r="AX11" s="5">
        <f t="shared" si="10"/>
        <v>1.8684258725241015E-3</v>
      </c>
      <c r="AY11" s="5">
        <f t="shared" si="11"/>
        <v>0.1490662788008508</v>
      </c>
      <c r="AZ11">
        <f t="shared" si="12"/>
        <v>5.9895692081240468E-3</v>
      </c>
      <c r="BA11">
        <f t="shared" si="13"/>
        <v>1.8560244129733334E-3</v>
      </c>
      <c r="BB11" s="5">
        <f t="shared" si="14"/>
        <v>95.000000000000014</v>
      </c>
      <c r="BC11" s="5">
        <f t="shared" si="15"/>
        <v>0.15691187242194818</v>
      </c>
      <c r="BD11" s="5">
        <f t="shared" si="16"/>
        <v>0.30690616342928562</v>
      </c>
      <c r="BE11" s="16">
        <f t="shared" si="17"/>
        <v>0.31567976925686969</v>
      </c>
      <c r="BF11">
        <f t="shared" si="18"/>
        <v>3.4472704061876791E-3</v>
      </c>
      <c r="BG11">
        <f t="shared" si="19"/>
        <v>0.14807954102451645</v>
      </c>
      <c r="BH11">
        <f t="shared" si="20"/>
        <v>1.240145955124389E-5</v>
      </c>
      <c r="BI11">
        <f t="shared" si="21"/>
        <v>0.30309082724006198</v>
      </c>
      <c r="BJ11">
        <f t="shared" si="22"/>
        <v>1.6898193515569484</v>
      </c>
      <c r="BK11">
        <f t="shared" si="23"/>
        <v>0.30309082724006198</v>
      </c>
      <c r="BL11">
        <f t="shared" si="34"/>
        <v>1.5735684717343332</v>
      </c>
      <c r="BM11">
        <f t="shared" si="35"/>
        <v>0.15499268402621869</v>
      </c>
      <c r="BN11">
        <f t="shared" si="36"/>
        <v>0.30309082724006198</v>
      </c>
      <c r="BO11" s="5">
        <f t="shared" si="24"/>
        <v>1.5735684717343332</v>
      </c>
      <c r="BP11" s="5">
        <f t="shared" si="25"/>
        <v>0.31567976925686969</v>
      </c>
      <c r="BQ11" s="4">
        <f t="shared" si="37"/>
        <v>3.7784964819815601</v>
      </c>
      <c r="BR11" s="5">
        <f t="shared" si="26"/>
        <v>0.14566970550046901</v>
      </c>
      <c r="BS11">
        <f t="shared" si="27"/>
        <v>20.408234211011482</v>
      </c>
      <c r="BT11">
        <f t="shared" si="28"/>
        <v>20.10514338377142</v>
      </c>
      <c r="BU11">
        <f t="shared" si="38"/>
        <v>18.834665739277149</v>
      </c>
      <c r="BV11">
        <f t="shared" si="39"/>
        <v>1.6898193515569484</v>
      </c>
      <c r="BW11">
        <f t="shared" si="40"/>
        <v>0.30309082724006198</v>
      </c>
      <c r="BX11" s="4">
        <f t="shared" si="41"/>
        <v>3.9858203575940205</v>
      </c>
      <c r="BY11">
        <f t="shared" si="42"/>
        <v>0.14083592983753818</v>
      </c>
      <c r="BZ11">
        <f t="shared" si="43"/>
        <v>23.91192496070272</v>
      </c>
      <c r="CA11">
        <f t="shared" si="44"/>
        <v>22.222105609145771</v>
      </c>
    </row>
    <row r="12" spans="1:79" x14ac:dyDescent="0.25">
      <c r="A12">
        <v>4</v>
      </c>
      <c r="B12">
        <v>1.54143585092054E-3</v>
      </c>
      <c r="C12">
        <v>1.54143585092054E-3</v>
      </c>
      <c r="D12">
        <v>3.4254130020456501E-4</v>
      </c>
      <c r="E12">
        <v>0</v>
      </c>
      <c r="F12">
        <v>0</v>
      </c>
      <c r="G12">
        <v>0</v>
      </c>
      <c r="H12" s="5">
        <v>1.7208960911287699E-5</v>
      </c>
      <c r="I12" s="5">
        <v>2.8768784818324402E-7</v>
      </c>
      <c r="J12">
        <v>3.3243632642994598E-4</v>
      </c>
      <c r="K12">
        <v>0.10920586178936199</v>
      </c>
      <c r="L12">
        <v>0.110418215553449</v>
      </c>
      <c r="M12">
        <v>7.2398825703009801E-4</v>
      </c>
      <c r="N12" t="s">
        <v>52</v>
      </c>
      <c r="O12">
        <v>0.1</v>
      </c>
      <c r="P12">
        <v>4</v>
      </c>
      <c r="Q12">
        <v>1.6481650483119699E-3</v>
      </c>
      <c r="R12">
        <v>1.6664622263884801E-3</v>
      </c>
      <c r="S12">
        <v>1.0926630870116399E-5</v>
      </c>
      <c r="T12">
        <v>0</v>
      </c>
      <c r="U12">
        <v>0</v>
      </c>
      <c r="V12">
        <v>0</v>
      </c>
      <c r="W12">
        <v>1.6024673892141501E-3</v>
      </c>
      <c r="X12">
        <v>7.3502024125801294E-5</v>
      </c>
      <c r="Y12">
        <v>1.0838364815948499E-5</v>
      </c>
      <c r="Z12">
        <v>2.0055299493415999E-3</v>
      </c>
      <c r="AA12">
        <v>6.9910132309146902E-2</v>
      </c>
      <c r="AB12">
        <v>3.8737261084868501E-6</v>
      </c>
      <c r="AC12">
        <v>0.1</v>
      </c>
      <c r="AD12">
        <v>100</v>
      </c>
      <c r="AE12">
        <v>13.957372480144</v>
      </c>
      <c r="AF12">
        <v>92.480233795174101</v>
      </c>
      <c r="AG12">
        <v>21.0723863717228</v>
      </c>
      <c r="AH12">
        <f t="shared" si="0"/>
        <v>1.3957372480144001</v>
      </c>
      <c r="AI12">
        <f t="shared" si="29"/>
        <v>2.10723863717228</v>
      </c>
      <c r="AJ12">
        <f t="shared" si="30"/>
        <v>1.3957372480144001</v>
      </c>
      <c r="AK12">
        <f t="shared" si="45"/>
        <v>2.10723863717228</v>
      </c>
      <c r="AL12">
        <f t="shared" si="1"/>
        <v>0.61610650274869927</v>
      </c>
      <c r="AM12">
        <f t="shared" si="31"/>
        <v>0.77963074526570086</v>
      </c>
      <c r="AN12">
        <f t="shared" si="32"/>
        <v>0.61610650274869927</v>
      </c>
      <c r="AO12" s="5">
        <f t="shared" si="2"/>
        <v>1.7208960911287699E-3</v>
      </c>
      <c r="AP12" s="5">
        <f t="shared" si="3"/>
        <v>2.8768784818324403E-5</v>
      </c>
      <c r="AQ12" s="5">
        <f t="shared" si="4"/>
        <v>3.3243632642994597E-2</v>
      </c>
      <c r="AR12">
        <f t="shared" si="33"/>
        <v>10</v>
      </c>
      <c r="AS12" s="5">
        <f t="shared" si="5"/>
        <v>0.154143585092054</v>
      </c>
      <c r="AT12" s="8">
        <f t="shared" si="6"/>
        <v>0.154143585092054</v>
      </c>
      <c r="AU12" s="5">
        <f t="shared" si="7"/>
        <v>3.4254130020456498E-2</v>
      </c>
      <c r="AV12" s="5">
        <f t="shared" si="8"/>
        <v>0.15242268900092523</v>
      </c>
      <c r="AW12" s="8">
        <f t="shared" si="9"/>
        <v>0.15411481630723567</v>
      </c>
      <c r="AX12" s="5">
        <f t="shared" si="10"/>
        <v>1.0104973774619011E-3</v>
      </c>
      <c r="AY12" s="5">
        <f t="shared" si="11"/>
        <v>0.14819655880366686</v>
      </c>
      <c r="AZ12">
        <f t="shared" si="12"/>
        <v>6.7974843755726306E-3</v>
      </c>
      <c r="BA12">
        <f t="shared" si="13"/>
        <v>1.0023345121363064E-3</v>
      </c>
      <c r="BB12" s="5">
        <f t="shared" si="14"/>
        <v>94.999999997987047</v>
      </c>
      <c r="BC12" s="5">
        <f t="shared" si="15"/>
        <v>0.15599637769137578</v>
      </c>
      <c r="BD12" s="5">
        <f t="shared" si="16"/>
        <v>0.30469410375111083</v>
      </c>
      <c r="BE12" s="16">
        <f t="shared" si="17"/>
        <v>0.31299508989488789</v>
      </c>
      <c r="BF12">
        <f t="shared" si="18"/>
        <v>4.2261301972587846E-3</v>
      </c>
      <c r="BG12">
        <f t="shared" si="19"/>
        <v>0.14731733193166049</v>
      </c>
      <c r="BH12">
        <f t="shared" si="20"/>
        <v>8.1628653256265093E-6</v>
      </c>
      <c r="BI12">
        <f t="shared" si="21"/>
        <v>0.30311141285381543</v>
      </c>
      <c r="BJ12">
        <f t="shared" si="22"/>
        <v>1.8041272243184645</v>
      </c>
      <c r="BK12">
        <f t="shared" si="23"/>
        <v>0.30311141285381543</v>
      </c>
      <c r="BL12">
        <f t="shared" si="34"/>
        <v>1.0827421581195162</v>
      </c>
      <c r="BM12">
        <f t="shared" si="35"/>
        <v>0.1557818366241665</v>
      </c>
      <c r="BN12">
        <f t="shared" si="36"/>
        <v>0.30311141285381543</v>
      </c>
      <c r="BO12" s="5">
        <f t="shared" si="24"/>
        <v>1.0827421581195162</v>
      </c>
      <c r="BP12" s="5">
        <f t="shared" si="25"/>
        <v>0.31299508989488789</v>
      </c>
      <c r="BQ12" s="4">
        <f t="shared" si="37"/>
        <v>2.7914744960288003</v>
      </c>
      <c r="BR12" s="5">
        <f t="shared" si="26"/>
        <v>0.1407193381416007</v>
      </c>
      <c r="BS12">
        <f t="shared" si="27"/>
        <v>10.739274218034037</v>
      </c>
      <c r="BT12">
        <f t="shared" si="28"/>
        <v>10.436162805180222</v>
      </c>
      <c r="BU12">
        <f t="shared" si="38"/>
        <v>9.6565320599145217</v>
      </c>
      <c r="BV12">
        <f t="shared" si="39"/>
        <v>1.8041272243184645</v>
      </c>
      <c r="BW12">
        <f t="shared" si="40"/>
        <v>0.30311141285381543</v>
      </c>
      <c r="BX12" s="4">
        <f t="shared" si="41"/>
        <v>4.21447727434456</v>
      </c>
      <c r="BY12">
        <f t="shared" si="42"/>
        <v>0.14138694882591257</v>
      </c>
      <c r="BZ12">
        <f t="shared" si="43"/>
        <v>26.888808514704234</v>
      </c>
      <c r="CA12">
        <f t="shared" si="44"/>
        <v>25.08468129038577</v>
      </c>
    </row>
    <row r="13" spans="1:79" x14ac:dyDescent="0.25">
      <c r="A13">
        <v>4</v>
      </c>
      <c r="B13">
        <v>1.54143585092054E-3</v>
      </c>
      <c r="C13">
        <v>1.54143585092054E-3</v>
      </c>
      <c r="D13">
        <v>3.4254130020456501E-4</v>
      </c>
      <c r="E13">
        <v>0</v>
      </c>
      <c r="F13">
        <v>0</v>
      </c>
      <c r="G13">
        <v>0</v>
      </c>
      <c r="H13" s="5">
        <v>1.7208960911287699E-5</v>
      </c>
      <c r="I13" s="5">
        <v>2.8768784818324402E-7</v>
      </c>
      <c r="J13">
        <v>3.3243632642994598E-4</v>
      </c>
      <c r="K13">
        <v>0.10920586178936199</v>
      </c>
      <c r="L13">
        <v>0.110418215553449</v>
      </c>
      <c r="M13">
        <v>7.2398825703009801E-4</v>
      </c>
      <c r="N13" t="s">
        <v>52</v>
      </c>
      <c r="O13">
        <v>0.1</v>
      </c>
      <c r="P13">
        <v>5</v>
      </c>
      <c r="Q13">
        <v>1.6481650483119699E-3</v>
      </c>
      <c r="R13">
        <v>1.6664622263884801E-3</v>
      </c>
      <c r="S13">
        <v>1.0926630870116399E-5</v>
      </c>
      <c r="T13">
        <v>0</v>
      </c>
      <c r="U13">
        <v>0</v>
      </c>
      <c r="V13">
        <v>0</v>
      </c>
      <c r="W13">
        <v>1.6085253260061899E-3</v>
      </c>
      <c r="X13">
        <v>7.3809557032336595E-5</v>
      </c>
      <c r="Y13">
        <v>1.08496706522018E-5</v>
      </c>
      <c r="Z13">
        <v>1.817766908322E-3</v>
      </c>
      <c r="AA13">
        <v>7.3034601414750294E-2</v>
      </c>
      <c r="AB13">
        <v>3.5291805604209299E-6</v>
      </c>
      <c r="AC13">
        <v>0.1</v>
      </c>
      <c r="AD13">
        <v>100</v>
      </c>
      <c r="AE13">
        <v>13.957372480144</v>
      </c>
      <c r="AF13">
        <v>92.480233795174101</v>
      </c>
      <c r="AG13">
        <v>20.1670014436726</v>
      </c>
      <c r="AH13">
        <f t="shared" si="0"/>
        <v>1.3957372480144001</v>
      </c>
      <c r="AI13">
        <f t="shared" si="29"/>
        <v>2.0167001443672601</v>
      </c>
      <c r="AJ13">
        <f t="shared" si="30"/>
        <v>1.3957372480144001</v>
      </c>
      <c r="AK13">
        <f t="shared" si="45"/>
        <v>2.0167001443672601</v>
      </c>
      <c r="AL13">
        <f t="shared" si="1"/>
        <v>0.61610650274869927</v>
      </c>
      <c r="AM13">
        <f t="shared" si="31"/>
        <v>0.77963074526570086</v>
      </c>
      <c r="AN13">
        <f t="shared" si="32"/>
        <v>0.61610650274869927</v>
      </c>
      <c r="AO13" s="5">
        <f t="shared" si="2"/>
        <v>1.7208960911287699E-3</v>
      </c>
      <c r="AP13" s="5">
        <f t="shared" si="3"/>
        <v>2.8768784818324403E-5</v>
      </c>
      <c r="AQ13" s="5">
        <f t="shared" si="4"/>
        <v>3.3243632642994597E-2</v>
      </c>
      <c r="AR13">
        <f t="shared" si="33"/>
        <v>10</v>
      </c>
      <c r="AS13" s="5">
        <f t="shared" si="5"/>
        <v>0.154143585092054</v>
      </c>
      <c r="AT13" s="8">
        <f t="shared" si="6"/>
        <v>0.154143585092054</v>
      </c>
      <c r="AU13" s="5">
        <f t="shared" si="7"/>
        <v>3.4254130020456498E-2</v>
      </c>
      <c r="AV13" s="5">
        <f t="shared" si="8"/>
        <v>0.15242268900092523</v>
      </c>
      <c r="AW13" s="8">
        <f t="shared" si="9"/>
        <v>0.15411481630723567</v>
      </c>
      <c r="AX13" s="5">
        <f t="shared" si="10"/>
        <v>1.0104973774619011E-3</v>
      </c>
      <c r="AY13" s="5">
        <f t="shared" si="11"/>
        <v>0.14875679821451107</v>
      </c>
      <c r="AZ13">
        <f t="shared" si="12"/>
        <v>6.8259250906687252E-3</v>
      </c>
      <c r="BA13">
        <f t="shared" si="13"/>
        <v>1.0033800785162615E-3</v>
      </c>
      <c r="BB13" s="5">
        <f t="shared" si="14"/>
        <v>94.999999999999872</v>
      </c>
      <c r="BC13" s="5">
        <f t="shared" si="15"/>
        <v>0.15658610338369608</v>
      </c>
      <c r="BD13" s="5">
        <f t="shared" si="16"/>
        <v>0.30584459163746525</v>
      </c>
      <c r="BE13" s="16">
        <f t="shared" si="17"/>
        <v>0.31417558684590841</v>
      </c>
      <c r="BF13">
        <f t="shared" si="18"/>
        <v>3.6658907864390057E-3</v>
      </c>
      <c r="BG13">
        <f t="shared" si="19"/>
        <v>0.14728889121693223</v>
      </c>
      <c r="BH13">
        <f t="shared" si="20"/>
        <v>7.1172989456990168E-6</v>
      </c>
      <c r="BI13">
        <f t="shared" si="21"/>
        <v>0.30193091590357957</v>
      </c>
      <c r="BJ13">
        <f t="shared" si="22"/>
        <v>1.7147692284636804</v>
      </c>
      <c r="BK13">
        <f t="shared" si="23"/>
        <v>0.30193091590357957</v>
      </c>
      <c r="BL13">
        <f t="shared" si="34"/>
        <v>1.0815616611692804</v>
      </c>
      <c r="BM13">
        <f t="shared" si="35"/>
        <v>0.15463134873822879</v>
      </c>
      <c r="BN13">
        <f t="shared" si="36"/>
        <v>0.30193091590357957</v>
      </c>
      <c r="BO13" s="5">
        <f t="shared" si="24"/>
        <v>1.0815616611692804</v>
      </c>
      <c r="BP13" s="5">
        <f t="shared" si="25"/>
        <v>0.31417558684590841</v>
      </c>
      <c r="BQ13" s="4">
        <f t="shared" si="37"/>
        <v>2.7914744960288003</v>
      </c>
      <c r="BR13" s="5">
        <f t="shared" si="26"/>
        <v>0.14119638635261797</v>
      </c>
      <c r="BS13">
        <f t="shared" si="27"/>
        <v>10.691321042369616</v>
      </c>
      <c r="BT13">
        <f t="shared" si="28"/>
        <v>10.389390126466036</v>
      </c>
      <c r="BU13">
        <f t="shared" si="38"/>
        <v>9.6097593812003357</v>
      </c>
      <c r="BV13">
        <f t="shared" si="39"/>
        <v>1.7147692284636804</v>
      </c>
      <c r="BW13">
        <f t="shared" si="40"/>
        <v>0.30193091590357957</v>
      </c>
      <c r="BX13" s="4">
        <f t="shared" si="41"/>
        <v>4.0334002887345202</v>
      </c>
      <c r="BY13">
        <f t="shared" si="42"/>
        <v>0.14045158096347046</v>
      </c>
      <c r="BZ13">
        <f t="shared" si="43"/>
        <v>24.621832854260742</v>
      </c>
      <c r="CA13">
        <f t="shared" si="44"/>
        <v>22.907063625797061</v>
      </c>
    </row>
    <row r="14" spans="1:79" x14ac:dyDescent="0.25">
      <c r="A14">
        <v>4</v>
      </c>
      <c r="B14">
        <v>1.54143585092054E-3</v>
      </c>
      <c r="C14">
        <v>1.54143585092054E-3</v>
      </c>
      <c r="D14">
        <v>3.4254130020456501E-4</v>
      </c>
      <c r="E14">
        <v>0</v>
      </c>
      <c r="F14">
        <v>0</v>
      </c>
      <c r="G14">
        <v>0</v>
      </c>
      <c r="H14" s="5">
        <v>1.7208960911287699E-5</v>
      </c>
      <c r="I14" s="5">
        <v>2.8768784818324402E-7</v>
      </c>
      <c r="J14">
        <v>3.3243632642994598E-4</v>
      </c>
      <c r="K14">
        <v>0.10920586178936199</v>
      </c>
      <c r="L14">
        <v>0.110418215553449</v>
      </c>
      <c r="M14">
        <v>7.2398825703009801E-4</v>
      </c>
      <c r="N14" t="s">
        <v>52</v>
      </c>
      <c r="O14">
        <v>0.1</v>
      </c>
      <c r="P14">
        <v>6</v>
      </c>
      <c r="Q14">
        <v>1.6481650483119699E-3</v>
      </c>
      <c r="R14">
        <v>1.6664622263884801E-3</v>
      </c>
      <c r="S14">
        <v>1.0926630870116399E-5</v>
      </c>
      <c r="T14">
        <v>0</v>
      </c>
      <c r="U14">
        <v>0</v>
      </c>
      <c r="V14">
        <v>0</v>
      </c>
      <c r="W14">
        <v>1.61036674463848E-3</v>
      </c>
      <c r="X14">
        <v>7.3903037307057197E-5</v>
      </c>
      <c r="Y14">
        <v>1.0853107147603801E-5</v>
      </c>
      <c r="Z14">
        <v>1.75730512408255E-3</v>
      </c>
      <c r="AA14">
        <v>7.4040688374865299E-2</v>
      </c>
      <c r="AB14">
        <v>3.41823843284434E-6</v>
      </c>
      <c r="AC14">
        <v>0.1</v>
      </c>
      <c r="AD14">
        <v>100</v>
      </c>
      <c r="AE14">
        <v>13.957372480144</v>
      </c>
      <c r="AF14">
        <v>92.480233795174101</v>
      </c>
      <c r="AG14">
        <v>19.891798600503797</v>
      </c>
      <c r="AH14">
        <f t="shared" si="0"/>
        <v>1.3957372480144001</v>
      </c>
      <c r="AI14">
        <f t="shared" si="29"/>
        <v>1.9891798600503798</v>
      </c>
      <c r="AJ14">
        <f t="shared" si="30"/>
        <v>1.3957372480144001</v>
      </c>
      <c r="AK14">
        <f t="shared" si="45"/>
        <v>1.9891798600503798</v>
      </c>
      <c r="AL14">
        <f t="shared" si="1"/>
        <v>0.61610650274869927</v>
      </c>
      <c r="AM14">
        <f t="shared" si="31"/>
        <v>0.77963074526570086</v>
      </c>
      <c r="AN14">
        <f t="shared" si="32"/>
        <v>0.61610650274869927</v>
      </c>
      <c r="AO14" s="5">
        <f t="shared" si="2"/>
        <v>1.7208960911287699E-3</v>
      </c>
      <c r="AP14" s="5">
        <f t="shared" si="3"/>
        <v>2.8768784818324403E-5</v>
      </c>
      <c r="AQ14" s="5">
        <f t="shared" si="4"/>
        <v>3.3243632642994597E-2</v>
      </c>
      <c r="AR14">
        <f t="shared" si="33"/>
        <v>10</v>
      </c>
      <c r="AS14" s="5">
        <f t="shared" si="5"/>
        <v>0.154143585092054</v>
      </c>
      <c r="AT14" s="8">
        <f t="shared" si="6"/>
        <v>0.154143585092054</v>
      </c>
      <c r="AU14" s="5">
        <f t="shared" si="7"/>
        <v>3.4254130020456498E-2</v>
      </c>
      <c r="AV14" s="5">
        <f t="shared" si="8"/>
        <v>0.15242268900092523</v>
      </c>
      <c r="AW14" s="8">
        <f t="shared" si="9"/>
        <v>0.15411481630723567</v>
      </c>
      <c r="AX14" s="5">
        <f t="shared" si="10"/>
        <v>1.0104973774619011E-3</v>
      </c>
      <c r="AY14" s="5">
        <f t="shared" si="11"/>
        <v>0.14892709304014007</v>
      </c>
      <c r="AZ14">
        <f t="shared" si="12"/>
        <v>6.8345701683301232E-3</v>
      </c>
      <c r="BA14">
        <f t="shared" si="13"/>
        <v>1.0036978864144746E-3</v>
      </c>
      <c r="BB14" s="5">
        <f t="shared" si="14"/>
        <v>94.999999999999773</v>
      </c>
      <c r="BC14" s="5">
        <f t="shared" si="15"/>
        <v>0.15676536109488465</v>
      </c>
      <c r="BD14" s="5">
        <f t="shared" si="16"/>
        <v>0.30619430307823198</v>
      </c>
      <c r="BE14" s="16">
        <f t="shared" si="17"/>
        <v>0.31453442007618376</v>
      </c>
      <c r="BF14">
        <f t="shared" si="18"/>
        <v>3.4955959607883423E-3</v>
      </c>
      <c r="BG14">
        <f t="shared" si="19"/>
        <v>0.14728024613954835</v>
      </c>
      <c r="BH14">
        <f t="shared" si="20"/>
        <v>6.7994910474641344E-6</v>
      </c>
      <c r="BI14">
        <f t="shared" si="21"/>
        <v>0.3015720826738158</v>
      </c>
      <c r="BJ14">
        <f t="shared" si="22"/>
        <v>1.6876077773765641</v>
      </c>
      <c r="BK14">
        <f t="shared" si="23"/>
        <v>0.3015720826738158</v>
      </c>
      <c r="BL14">
        <f t="shared" si="34"/>
        <v>1.0812028279395167</v>
      </c>
      <c r="BM14">
        <f t="shared" si="35"/>
        <v>0.15428163729769623</v>
      </c>
      <c r="BN14">
        <f t="shared" si="36"/>
        <v>0.3015720826738158</v>
      </c>
      <c r="BO14" s="5">
        <f t="shared" si="24"/>
        <v>1.0812028279395167</v>
      </c>
      <c r="BP14" s="5">
        <f t="shared" si="25"/>
        <v>0.31453442007618376</v>
      </c>
      <c r="BQ14" s="4">
        <f t="shared" si="37"/>
        <v>2.7914744960288003</v>
      </c>
      <c r="BR14" s="5">
        <f t="shared" si="26"/>
        <v>0.14134132185089304</v>
      </c>
      <c r="BS14">
        <f t="shared" si="27"/>
        <v>10.676814394064287</v>
      </c>
      <c r="BT14">
        <f t="shared" si="28"/>
        <v>10.375242311390471</v>
      </c>
      <c r="BU14">
        <f t="shared" si="38"/>
        <v>9.5956115661247701</v>
      </c>
      <c r="BV14">
        <f t="shared" si="39"/>
        <v>1.6876077773765641</v>
      </c>
      <c r="BW14">
        <f t="shared" si="40"/>
        <v>0.3015720826738158</v>
      </c>
      <c r="BX14" s="4">
        <f t="shared" si="41"/>
        <v>3.9783597201007597</v>
      </c>
      <c r="BY14">
        <f t="shared" si="42"/>
        <v>0.14016137192170078</v>
      </c>
      <c r="BZ14">
        <f t="shared" si="43"/>
        <v>23.950646004643584</v>
      </c>
      <c r="CA14">
        <f t="shared" si="44"/>
        <v>22.263038227267021</v>
      </c>
    </row>
    <row r="15" spans="1:79" x14ac:dyDescent="0.25">
      <c r="A15">
        <v>4</v>
      </c>
      <c r="B15">
        <v>1.54143585092054E-3</v>
      </c>
      <c r="C15">
        <v>1.54143585092054E-3</v>
      </c>
      <c r="D15">
        <v>3.4254130020456501E-4</v>
      </c>
      <c r="E15">
        <v>0</v>
      </c>
      <c r="F15">
        <v>0</v>
      </c>
      <c r="G15">
        <v>0</v>
      </c>
      <c r="H15" s="5">
        <v>1.7208960911287699E-5</v>
      </c>
      <c r="I15" s="5">
        <v>2.8768784818324402E-7</v>
      </c>
      <c r="J15">
        <v>3.3243632642994598E-4</v>
      </c>
      <c r="K15">
        <v>0.10920586178936199</v>
      </c>
      <c r="L15">
        <v>0.110418215553449</v>
      </c>
      <c r="M15">
        <v>7.2398825703009801E-4</v>
      </c>
      <c r="N15" t="s">
        <v>52</v>
      </c>
      <c r="O15">
        <v>0.1</v>
      </c>
      <c r="P15">
        <v>7</v>
      </c>
      <c r="Q15">
        <v>1.6481650483119699E-3</v>
      </c>
      <c r="R15">
        <v>1.6664622263884801E-3</v>
      </c>
      <c r="S15">
        <v>1.0926630870116399E-5</v>
      </c>
      <c r="T15">
        <v>0</v>
      </c>
      <c r="U15">
        <v>0</v>
      </c>
      <c r="V15">
        <v>0</v>
      </c>
      <c r="W15">
        <v>1.61090754837377E-3</v>
      </c>
      <c r="X15">
        <v>7.3930491403475195E-5</v>
      </c>
      <c r="Y15">
        <v>1.08541164056693E-5</v>
      </c>
      <c r="Z15">
        <v>1.73922906321953E-3</v>
      </c>
      <c r="AA15">
        <v>7.4341474522921697E-2</v>
      </c>
      <c r="AB15">
        <v>3.3850705039854299E-6</v>
      </c>
      <c r="AC15">
        <v>0.1</v>
      </c>
      <c r="AD15">
        <v>100</v>
      </c>
      <c r="AE15">
        <v>13.957372480144</v>
      </c>
      <c r="AF15">
        <v>92.480233795174101</v>
      </c>
      <c r="AG15">
        <v>19.810974742489201</v>
      </c>
      <c r="AH15">
        <f t="shared" si="0"/>
        <v>1.3957372480144001</v>
      </c>
      <c r="AI15">
        <f t="shared" si="29"/>
        <v>1.9810974742489202</v>
      </c>
      <c r="AJ15">
        <f t="shared" si="30"/>
        <v>1.3957372480144001</v>
      </c>
      <c r="AK15">
        <f t="shared" si="45"/>
        <v>1.9810974742489202</v>
      </c>
      <c r="AL15">
        <f t="shared" si="1"/>
        <v>0.61610650274869927</v>
      </c>
      <c r="AM15">
        <f t="shared" si="31"/>
        <v>0.77963074526570086</v>
      </c>
      <c r="AN15">
        <f t="shared" si="32"/>
        <v>0.61610650274869927</v>
      </c>
      <c r="AO15" s="5">
        <f t="shared" si="2"/>
        <v>1.7208960911287699E-3</v>
      </c>
      <c r="AP15" s="5">
        <f t="shared" si="3"/>
        <v>2.8768784818324403E-5</v>
      </c>
      <c r="AQ15" s="5">
        <f t="shared" si="4"/>
        <v>3.3243632642994597E-2</v>
      </c>
      <c r="AR15">
        <f t="shared" si="33"/>
        <v>10</v>
      </c>
      <c r="AS15" s="5">
        <f t="shared" si="5"/>
        <v>0.154143585092054</v>
      </c>
      <c r="AT15" s="8">
        <f t="shared" si="6"/>
        <v>0.154143585092054</v>
      </c>
      <c r="AU15" s="5">
        <f t="shared" si="7"/>
        <v>3.4254130020456498E-2</v>
      </c>
      <c r="AV15" s="5">
        <f t="shared" si="8"/>
        <v>0.15242268900092523</v>
      </c>
      <c r="AW15" s="8">
        <f t="shared" si="9"/>
        <v>0.15411481630723567</v>
      </c>
      <c r="AX15" s="5">
        <f t="shared" si="10"/>
        <v>1.0104973774619011E-3</v>
      </c>
      <c r="AY15" s="5">
        <f t="shared" si="11"/>
        <v>0.14897710669601699</v>
      </c>
      <c r="AZ15">
        <f t="shared" si="12"/>
        <v>6.8371091295854952E-3</v>
      </c>
      <c r="BA15">
        <f t="shared" si="13"/>
        <v>1.0037912228363316E-3</v>
      </c>
      <c r="BB15" s="5">
        <f t="shared" si="14"/>
        <v>95.000000000000071</v>
      </c>
      <c r="BC15" s="5">
        <f t="shared" si="15"/>
        <v>0.15681800704843882</v>
      </c>
      <c r="BD15" s="5">
        <f t="shared" si="16"/>
        <v>0.30629700935587401</v>
      </c>
      <c r="BE15" s="16">
        <f t="shared" si="17"/>
        <v>0.31463980531971397</v>
      </c>
      <c r="BF15">
        <f t="shared" si="18"/>
        <v>3.4455823042845264E-3</v>
      </c>
      <c r="BG15">
        <f t="shared" si="19"/>
        <v>0.14727770740930063</v>
      </c>
      <c r="BH15">
        <f t="shared" si="20"/>
        <v>6.7061546256000545E-6</v>
      </c>
      <c r="BI15">
        <f t="shared" si="21"/>
        <v>0.30146669789104708</v>
      </c>
      <c r="BJ15">
        <f t="shared" si="22"/>
        <v>1.6796307763578731</v>
      </c>
      <c r="BK15">
        <f t="shared" si="23"/>
        <v>0.30146669789104708</v>
      </c>
      <c r="BL15">
        <f t="shared" si="34"/>
        <v>1.0810974431567479</v>
      </c>
      <c r="BM15">
        <f t="shared" si="35"/>
        <v>0.15417893124980808</v>
      </c>
      <c r="BN15">
        <f t="shared" si="36"/>
        <v>0.30146669789104708</v>
      </c>
      <c r="BO15" s="5">
        <f t="shared" si="24"/>
        <v>1.0810974431567479</v>
      </c>
      <c r="BP15" s="5">
        <f t="shared" si="25"/>
        <v>0.31463980531971397</v>
      </c>
      <c r="BQ15" s="4">
        <f t="shared" si="37"/>
        <v>2.7914744960288003</v>
      </c>
      <c r="BR15" s="5">
        <f t="shared" si="26"/>
        <v>0.1413838813987193</v>
      </c>
      <c r="BS15">
        <f t="shared" si="27"/>
        <v>10.67256009114397</v>
      </c>
      <c r="BT15">
        <f t="shared" si="28"/>
        <v>10.371093393252922</v>
      </c>
      <c r="BU15">
        <f t="shared" si="38"/>
        <v>9.5914626479872211</v>
      </c>
      <c r="BV15">
        <f t="shared" si="39"/>
        <v>1.6796307763578731</v>
      </c>
      <c r="BW15">
        <f t="shared" si="40"/>
        <v>0.30146669789104708</v>
      </c>
      <c r="BX15" s="4">
        <f t="shared" si="41"/>
        <v>3.9621949484978405</v>
      </c>
      <c r="BY15">
        <f t="shared" si="42"/>
        <v>0.14007558837787806</v>
      </c>
      <c r="BZ15">
        <f t="shared" si="43"/>
        <v>23.755119127087276</v>
      </c>
      <c r="CA15">
        <f t="shared" si="44"/>
        <v>22.075488350729405</v>
      </c>
    </row>
    <row r="16" spans="1:79" x14ac:dyDescent="0.25">
      <c r="A16">
        <v>4</v>
      </c>
      <c r="B16">
        <v>1.54143585092054E-3</v>
      </c>
      <c r="C16">
        <v>1.54143585092054E-3</v>
      </c>
      <c r="D16">
        <v>3.4254130020456501E-4</v>
      </c>
      <c r="E16">
        <v>0</v>
      </c>
      <c r="F16">
        <v>0</v>
      </c>
      <c r="G16">
        <v>0</v>
      </c>
      <c r="H16" s="5">
        <v>1.7208960911287699E-5</v>
      </c>
      <c r="I16" s="5">
        <v>2.8768784818324402E-7</v>
      </c>
      <c r="J16">
        <v>3.3243632642994598E-4</v>
      </c>
      <c r="K16">
        <v>0.10920586178936199</v>
      </c>
      <c r="L16">
        <v>0.110418215553449</v>
      </c>
      <c r="M16">
        <v>7.2398825703009801E-4</v>
      </c>
      <c r="N16" t="s">
        <v>52</v>
      </c>
      <c r="O16">
        <v>0.1</v>
      </c>
      <c r="P16">
        <v>8</v>
      </c>
      <c r="Q16">
        <v>1.6481650483119699E-3</v>
      </c>
      <c r="R16">
        <v>1.6664622263884801E-3</v>
      </c>
      <c r="S16">
        <v>1.0926630870116399E-5</v>
      </c>
      <c r="T16">
        <v>0</v>
      </c>
      <c r="U16">
        <v>0</v>
      </c>
      <c r="V16">
        <v>0</v>
      </c>
      <c r="W16">
        <v>1.6110629319685101E-3</v>
      </c>
      <c r="X16">
        <v>7.3938379507668505E-5</v>
      </c>
      <c r="Y16">
        <v>1.085440638541E-5</v>
      </c>
      <c r="Z16">
        <v>1.73400814806823E-3</v>
      </c>
      <c r="AA16">
        <v>7.4428350688171094E-2</v>
      </c>
      <c r="AB16">
        <v>3.37549060036281E-6</v>
      </c>
      <c r="AC16">
        <v>0.1</v>
      </c>
      <c r="AD16">
        <v>100</v>
      </c>
      <c r="AE16">
        <v>13.957372480144</v>
      </c>
      <c r="AF16">
        <v>92.480233795174101</v>
      </c>
      <c r="AG16">
        <v>19.787752425277699</v>
      </c>
      <c r="AH16">
        <f t="shared" si="0"/>
        <v>1.3957372480144001</v>
      </c>
      <c r="AI16">
        <f t="shared" si="29"/>
        <v>1.97877524252777</v>
      </c>
      <c r="AJ16">
        <f t="shared" si="30"/>
        <v>1.3957372480144001</v>
      </c>
      <c r="AK16">
        <f t="shared" si="45"/>
        <v>1.97877524252777</v>
      </c>
      <c r="AL16">
        <f t="shared" si="1"/>
        <v>0.61610650274869927</v>
      </c>
      <c r="AM16">
        <f t="shared" si="31"/>
        <v>0.77963074526570086</v>
      </c>
      <c r="AN16">
        <f t="shared" si="32"/>
        <v>0.61610650274869927</v>
      </c>
      <c r="AO16" s="5">
        <f t="shared" si="2"/>
        <v>1.7208960911287699E-3</v>
      </c>
      <c r="AP16" s="5">
        <f t="shared" si="3"/>
        <v>2.8768784818324403E-5</v>
      </c>
      <c r="AQ16" s="5">
        <f t="shared" si="4"/>
        <v>3.3243632642994597E-2</v>
      </c>
      <c r="AR16">
        <f t="shared" si="33"/>
        <v>10</v>
      </c>
      <c r="AS16" s="5">
        <f t="shared" si="5"/>
        <v>0.154143585092054</v>
      </c>
      <c r="AT16" s="8">
        <f t="shared" si="6"/>
        <v>0.154143585092054</v>
      </c>
      <c r="AU16" s="5">
        <f t="shared" si="7"/>
        <v>3.4254130020456498E-2</v>
      </c>
      <c r="AV16" s="5">
        <f t="shared" si="8"/>
        <v>0.15242268900092523</v>
      </c>
      <c r="AW16" s="8">
        <f t="shared" si="9"/>
        <v>0.15411481630723567</v>
      </c>
      <c r="AX16" s="5">
        <f t="shared" si="10"/>
        <v>1.0104973774619011E-3</v>
      </c>
      <c r="AY16" s="5">
        <f t="shared" si="11"/>
        <v>0.14899147660718648</v>
      </c>
      <c r="AZ16">
        <f t="shared" si="12"/>
        <v>6.8378386233054929E-3</v>
      </c>
      <c r="BA16">
        <f t="shared" si="13"/>
        <v>1.0038180402305475E-3</v>
      </c>
      <c r="BB16" s="5">
        <f t="shared" si="14"/>
        <v>95.000000000000043</v>
      </c>
      <c r="BC16" s="5">
        <f t="shared" si="15"/>
        <v>0.15683313327072254</v>
      </c>
      <c r="BD16" s="5">
        <f t="shared" si="16"/>
        <v>0.30632651889802426</v>
      </c>
      <c r="BE16" s="16">
        <f t="shared" si="17"/>
        <v>0.31467008458167561</v>
      </c>
      <c r="BF16">
        <f t="shared" si="18"/>
        <v>3.4312123937388413E-3</v>
      </c>
      <c r="BG16">
        <f t="shared" si="19"/>
        <v>0.14727697768392767</v>
      </c>
      <c r="BH16">
        <f t="shared" si="20"/>
        <v>6.6793372313831272E-6</v>
      </c>
      <c r="BI16">
        <f t="shared" si="21"/>
        <v>0.30143641816702715</v>
      </c>
      <c r="BJ16">
        <f t="shared" si="22"/>
        <v>1.677338824360743</v>
      </c>
      <c r="BK16">
        <f t="shared" si="23"/>
        <v>0.30143641816702715</v>
      </c>
      <c r="BL16">
        <f t="shared" si="34"/>
        <v>1.081067163432728</v>
      </c>
      <c r="BM16">
        <f t="shared" si="35"/>
        <v>0.15414942147725241</v>
      </c>
      <c r="BN16">
        <f t="shared" si="36"/>
        <v>0.30143641816702715</v>
      </c>
      <c r="BO16" s="5">
        <f t="shared" si="24"/>
        <v>1.081067163432728</v>
      </c>
      <c r="BP16" s="5">
        <f t="shared" si="25"/>
        <v>0.31467008458167561</v>
      </c>
      <c r="BQ16" s="4">
        <f t="shared" si="37"/>
        <v>2.7914744960288003</v>
      </c>
      <c r="BR16" s="5">
        <f t="shared" si="26"/>
        <v>0.14139610906333522</v>
      </c>
      <c r="BS16">
        <f t="shared" si="27"/>
        <v>10.671338253957597</v>
      </c>
      <c r="BT16">
        <f t="shared" si="28"/>
        <v>10.36990183579057</v>
      </c>
      <c r="BU16">
        <f t="shared" si="38"/>
        <v>9.5902710905248689</v>
      </c>
      <c r="BV16">
        <f t="shared" si="39"/>
        <v>1.677338824360743</v>
      </c>
      <c r="BW16">
        <f t="shared" si="40"/>
        <v>0.30143641816702715</v>
      </c>
      <c r="BX16" s="4">
        <f t="shared" si="41"/>
        <v>3.9575504850555401</v>
      </c>
      <c r="BY16">
        <f t="shared" si="42"/>
        <v>0.14005089356199665</v>
      </c>
      <c r="BZ16">
        <f t="shared" si="43"/>
        <v>23.699074347615003</v>
      </c>
      <c r="CA16">
        <f t="shared" si="44"/>
        <v>22.021735523254261</v>
      </c>
    </row>
    <row r="17" spans="1:79" x14ac:dyDescent="0.25">
      <c r="A17">
        <v>4</v>
      </c>
      <c r="B17">
        <v>1.54143585092054E-3</v>
      </c>
      <c r="C17">
        <v>1.54143585092054E-3</v>
      </c>
      <c r="D17">
        <v>3.4254130020456501E-4</v>
      </c>
      <c r="E17">
        <v>0</v>
      </c>
      <c r="F17">
        <v>0</v>
      </c>
      <c r="G17">
        <v>0</v>
      </c>
      <c r="H17" s="5">
        <v>1.7208960911287699E-5</v>
      </c>
      <c r="I17" s="5">
        <v>2.8768784818324402E-7</v>
      </c>
      <c r="J17">
        <v>3.3243632642994598E-4</v>
      </c>
      <c r="K17">
        <v>0.10920586178936199</v>
      </c>
      <c r="L17">
        <v>0.110418215553449</v>
      </c>
      <c r="M17">
        <v>7.2398825703009801E-4</v>
      </c>
      <c r="N17" t="s">
        <v>52</v>
      </c>
      <c r="O17">
        <v>0.1</v>
      </c>
      <c r="P17">
        <v>9</v>
      </c>
      <c r="Q17">
        <v>1.6481650483119699E-3</v>
      </c>
      <c r="R17">
        <v>1.6664622263884801E-3</v>
      </c>
      <c r="S17">
        <v>1.0926630870116399E-5</v>
      </c>
      <c r="T17">
        <v>0</v>
      </c>
      <c r="U17">
        <v>0</v>
      </c>
      <c r="V17">
        <v>0</v>
      </c>
      <c r="W17">
        <v>1.6111071396005901E-3</v>
      </c>
      <c r="X17">
        <v>7.3940623679874496E-5</v>
      </c>
      <c r="Y17">
        <v>1.0854488886514799E-5</v>
      </c>
      <c r="Z17">
        <v>1.73252052347845E-3</v>
      </c>
      <c r="AA17">
        <v>7.4453104800508499E-2</v>
      </c>
      <c r="AB17">
        <v>3.37276094477029E-6</v>
      </c>
      <c r="AC17">
        <v>0.1</v>
      </c>
      <c r="AD17">
        <v>100</v>
      </c>
      <c r="AE17">
        <v>13.957372480144</v>
      </c>
      <c r="AF17">
        <v>92.480233795174101</v>
      </c>
      <c r="AG17">
        <v>19.781145533817099</v>
      </c>
      <c r="AH17">
        <f t="shared" si="0"/>
        <v>1.3957372480144001</v>
      </c>
      <c r="AI17">
        <f t="shared" si="29"/>
        <v>1.9781145533817099</v>
      </c>
      <c r="AJ17">
        <f t="shared" si="30"/>
        <v>1.3957372480144001</v>
      </c>
      <c r="AK17">
        <f t="shared" si="45"/>
        <v>1.9781145533817099</v>
      </c>
      <c r="AL17">
        <f t="shared" si="1"/>
        <v>0.61610650274869927</v>
      </c>
      <c r="AM17">
        <f t="shared" si="31"/>
        <v>0.77963074526570086</v>
      </c>
      <c r="AN17">
        <f t="shared" si="32"/>
        <v>0.61610650274869927</v>
      </c>
      <c r="AO17" s="5">
        <f t="shared" si="2"/>
        <v>1.7208960911287699E-3</v>
      </c>
      <c r="AP17" s="5">
        <f t="shared" si="3"/>
        <v>2.8768784818324403E-5</v>
      </c>
      <c r="AQ17" s="5">
        <f t="shared" si="4"/>
        <v>3.3243632642994597E-2</v>
      </c>
      <c r="AR17">
        <f t="shared" si="33"/>
        <v>10</v>
      </c>
      <c r="AS17" s="5">
        <f t="shared" si="5"/>
        <v>0.154143585092054</v>
      </c>
      <c r="AT17" s="8">
        <f t="shared" si="6"/>
        <v>0.154143585092054</v>
      </c>
      <c r="AU17" s="5">
        <f t="shared" si="7"/>
        <v>3.4254130020456498E-2</v>
      </c>
      <c r="AV17" s="5">
        <f t="shared" si="8"/>
        <v>0.15242268900092523</v>
      </c>
      <c r="AW17" s="8">
        <f t="shared" si="9"/>
        <v>0.15411481630723567</v>
      </c>
      <c r="AX17" s="5">
        <f t="shared" si="10"/>
        <v>1.0104973774619011E-3</v>
      </c>
      <c r="AY17" s="5">
        <f t="shared" si="11"/>
        <v>0.14899556493933677</v>
      </c>
      <c r="AZ17">
        <f t="shared" si="12"/>
        <v>6.8380461648757801E-3</v>
      </c>
      <c r="BA17">
        <f t="shared" si="13"/>
        <v>1.0038256699520076E-3</v>
      </c>
      <c r="BB17" s="5">
        <f t="shared" si="14"/>
        <v>95.000000002474181</v>
      </c>
      <c r="BC17" s="5">
        <f t="shared" si="15"/>
        <v>0.15683743677416456</v>
      </c>
      <c r="BD17" s="5">
        <f t="shared" si="16"/>
        <v>0.30633491454847733</v>
      </c>
      <c r="BE17" s="16">
        <f t="shared" si="17"/>
        <v>0.31467869921828118</v>
      </c>
      <c r="BF17">
        <f t="shared" si="18"/>
        <v>3.4271240615252204E-3</v>
      </c>
      <c r="BG17">
        <f t="shared" si="19"/>
        <v>0.14727677015033952</v>
      </c>
      <c r="BH17">
        <f t="shared" si="20"/>
        <v>6.6717075099275562E-6</v>
      </c>
      <c r="BI17">
        <f t="shared" si="21"/>
        <v>0.30142780354625931</v>
      </c>
      <c r="BJ17">
        <f t="shared" si="22"/>
        <v>1.6766867498354507</v>
      </c>
      <c r="BK17">
        <f t="shared" si="23"/>
        <v>0.30142780354625931</v>
      </c>
      <c r="BL17">
        <f t="shared" si="34"/>
        <v>1.0810585488119602</v>
      </c>
      <c r="BM17">
        <f t="shared" si="35"/>
        <v>0.15414102583465486</v>
      </c>
      <c r="BN17">
        <f t="shared" si="36"/>
        <v>0.30142780354625931</v>
      </c>
      <c r="BO17" s="5">
        <f t="shared" si="24"/>
        <v>1.0810585488119602</v>
      </c>
      <c r="BP17" s="5">
        <f t="shared" si="25"/>
        <v>0.31467869921828118</v>
      </c>
      <c r="BQ17" s="4">
        <f t="shared" si="37"/>
        <v>2.7914744960288003</v>
      </c>
      <c r="BR17" s="5">
        <f t="shared" si="26"/>
        <v>0.14139958786570334</v>
      </c>
      <c r="BS17">
        <f t="shared" si="27"/>
        <v>10.670990677103845</v>
      </c>
      <c r="BT17">
        <f t="shared" si="28"/>
        <v>10.369562873557586</v>
      </c>
      <c r="BU17">
        <f t="shared" si="38"/>
        <v>9.5899321282918848</v>
      </c>
      <c r="BV17">
        <f t="shared" si="39"/>
        <v>1.6766867498354507</v>
      </c>
      <c r="BW17">
        <f t="shared" si="40"/>
        <v>0.30142780354625931</v>
      </c>
      <c r="BX17" s="4">
        <f t="shared" si="41"/>
        <v>3.9562291067634199</v>
      </c>
      <c r="BY17">
        <f t="shared" si="42"/>
        <v>0.14004386392546833</v>
      </c>
      <c r="BZ17">
        <f t="shared" si="43"/>
        <v>23.683140184399136</v>
      </c>
      <c r="CA17">
        <f t="shared" si="44"/>
        <v>22.006453434563685</v>
      </c>
    </row>
    <row r="18" spans="1:79" x14ac:dyDescent="0.25">
      <c r="A18">
        <v>4</v>
      </c>
      <c r="B18">
        <v>1.54143585092054E-3</v>
      </c>
      <c r="C18">
        <v>1.54143585092054E-3</v>
      </c>
      <c r="D18">
        <v>3.4254130020456501E-4</v>
      </c>
      <c r="E18">
        <v>0</v>
      </c>
      <c r="F18">
        <v>0</v>
      </c>
      <c r="G18">
        <v>0</v>
      </c>
      <c r="H18" s="5">
        <v>1.7208960911287699E-5</v>
      </c>
      <c r="I18" s="5">
        <v>2.8768784818324402E-7</v>
      </c>
      <c r="J18">
        <v>3.3243632642994598E-4</v>
      </c>
      <c r="K18">
        <v>0.10920586178936199</v>
      </c>
      <c r="L18">
        <v>0.110418215553449</v>
      </c>
      <c r="M18">
        <v>7.2398825703009801E-4</v>
      </c>
      <c r="N18" t="s">
        <v>52</v>
      </c>
      <c r="O18">
        <v>0.1</v>
      </c>
      <c r="P18">
        <v>10</v>
      </c>
      <c r="Q18">
        <v>1.6481650483119699E-3</v>
      </c>
      <c r="R18">
        <v>1.6664622263884801E-3</v>
      </c>
      <c r="S18">
        <v>1.0926630870116399E-5</v>
      </c>
      <c r="T18">
        <v>0</v>
      </c>
      <c r="U18">
        <v>0</v>
      </c>
      <c r="V18">
        <v>0</v>
      </c>
      <c r="W18">
        <v>1.6111196692703601E-3</v>
      </c>
      <c r="X18">
        <v>7.3941259795984898E-5</v>
      </c>
      <c r="Y18">
        <v>1.08545122697032E-5</v>
      </c>
      <c r="Z18">
        <v>1.73209870318316E-3</v>
      </c>
      <c r="AA18">
        <v>7.4460123902013106E-2</v>
      </c>
      <c r="AB18">
        <v>3.3719869428578601E-6</v>
      </c>
      <c r="AC18">
        <v>0.1</v>
      </c>
      <c r="AD18">
        <v>100</v>
      </c>
      <c r="AE18">
        <v>13.957372480144</v>
      </c>
      <c r="AF18">
        <v>92.480233795174101</v>
      </c>
      <c r="AG18">
        <v>19.7792729929152</v>
      </c>
      <c r="AH18">
        <f t="shared" si="0"/>
        <v>1.3957372480144001</v>
      </c>
      <c r="AI18">
        <f t="shared" si="29"/>
        <v>1.97792729929152</v>
      </c>
      <c r="AJ18">
        <f t="shared" si="30"/>
        <v>1.3957372480144001</v>
      </c>
      <c r="AK18">
        <f t="shared" si="45"/>
        <v>1.97792729929152</v>
      </c>
      <c r="AL18">
        <f t="shared" si="1"/>
        <v>0.61610650274869927</v>
      </c>
      <c r="AM18">
        <f t="shared" si="31"/>
        <v>0.77963074526570086</v>
      </c>
      <c r="AN18">
        <f t="shared" si="32"/>
        <v>0.61610650274869927</v>
      </c>
      <c r="AO18" s="5">
        <f t="shared" si="2"/>
        <v>1.7208960911287699E-3</v>
      </c>
      <c r="AP18" s="5">
        <f t="shared" si="3"/>
        <v>2.8768784818324403E-5</v>
      </c>
      <c r="AQ18" s="5">
        <f t="shared" si="4"/>
        <v>3.3243632642994597E-2</v>
      </c>
      <c r="AR18">
        <f t="shared" si="33"/>
        <v>10</v>
      </c>
      <c r="AS18" s="5">
        <f t="shared" si="5"/>
        <v>0.154143585092054</v>
      </c>
      <c r="AT18" s="8">
        <f t="shared" si="6"/>
        <v>0.154143585092054</v>
      </c>
      <c r="AU18" s="5">
        <f t="shared" si="7"/>
        <v>3.4254130020456498E-2</v>
      </c>
      <c r="AV18" s="5">
        <f t="shared" si="8"/>
        <v>0.15242268900092523</v>
      </c>
      <c r="AW18" s="8">
        <f t="shared" si="9"/>
        <v>0.15411481630723567</v>
      </c>
      <c r="AX18" s="5">
        <f t="shared" si="10"/>
        <v>1.0104973774619011E-3</v>
      </c>
      <c r="AY18" s="5">
        <f t="shared" si="11"/>
        <v>0.14899672368612649</v>
      </c>
      <c r="AZ18">
        <f t="shared" si="12"/>
        <v>6.8381049930423907E-3</v>
      </c>
      <c r="BA18">
        <f t="shared" si="13"/>
        <v>1.0038278324347378E-3</v>
      </c>
      <c r="BB18" s="5">
        <f t="shared" si="14"/>
        <v>95.000000000065711</v>
      </c>
      <c r="BC18" s="5">
        <f t="shared" si="15"/>
        <v>0.15683865651160361</v>
      </c>
      <c r="BD18" s="5">
        <f t="shared" si="16"/>
        <v>0.30633729411394744</v>
      </c>
      <c r="BE18" s="16">
        <f t="shared" si="17"/>
        <v>0.31468114085564197</v>
      </c>
      <c r="BF18">
        <f t="shared" si="18"/>
        <v>3.4259653100934119E-3</v>
      </c>
      <c r="BG18">
        <f t="shared" si="19"/>
        <v>0.14727671177442073</v>
      </c>
      <c r="BH18">
        <f t="shared" si="20"/>
        <v>6.6695450271331165E-6</v>
      </c>
      <c r="BI18">
        <f t="shared" si="21"/>
        <v>0.30142536280410964</v>
      </c>
      <c r="BJ18">
        <f t="shared" si="22"/>
        <v>1.6765019364874103</v>
      </c>
      <c r="BK18">
        <f t="shared" si="23"/>
        <v>0.30142536280410964</v>
      </c>
      <c r="BL18">
        <f t="shared" si="34"/>
        <v>1.0810561080698105</v>
      </c>
      <c r="BM18">
        <f t="shared" si="35"/>
        <v>0.15413864671214825</v>
      </c>
      <c r="BN18">
        <f t="shared" si="36"/>
        <v>0.30142536280410964</v>
      </c>
      <c r="BO18" s="5">
        <f t="shared" si="24"/>
        <v>1.0810561080698105</v>
      </c>
      <c r="BP18" s="5">
        <f t="shared" si="25"/>
        <v>0.31468114085564197</v>
      </c>
      <c r="BQ18" s="4">
        <f t="shared" si="37"/>
        <v>2.7914744960288003</v>
      </c>
      <c r="BR18" s="5">
        <f t="shared" si="26"/>
        <v>0.14140057385547725</v>
      </c>
      <c r="BS18">
        <f t="shared" si="27"/>
        <v>10.670892175930643</v>
      </c>
      <c r="BT18">
        <f t="shared" si="28"/>
        <v>10.369466813126532</v>
      </c>
      <c r="BU18">
        <f t="shared" si="38"/>
        <v>9.5898360678608316</v>
      </c>
      <c r="BV18">
        <f t="shared" si="39"/>
        <v>1.6765019364874103</v>
      </c>
      <c r="BW18">
        <f t="shared" si="40"/>
        <v>0.30142536280410964</v>
      </c>
      <c r="BX18" s="4">
        <f t="shared" si="41"/>
        <v>3.95585459858304</v>
      </c>
      <c r="BY18">
        <f t="shared" si="42"/>
        <v>0.14004187161674003</v>
      </c>
      <c r="BZ18">
        <f t="shared" si="43"/>
        <v>23.678624894193188</v>
      </c>
      <c r="CA18">
        <f t="shared" si="44"/>
        <v>22.00212295770578</v>
      </c>
    </row>
    <row r="19" spans="1:79" x14ac:dyDescent="0.25">
      <c r="A19">
        <v>4</v>
      </c>
      <c r="B19">
        <v>1.54143585092054E-3</v>
      </c>
      <c r="C19">
        <v>1.54143585092054E-3</v>
      </c>
      <c r="D19">
        <v>3.4254130020456501E-4</v>
      </c>
      <c r="E19">
        <v>0</v>
      </c>
      <c r="F19">
        <v>0</v>
      </c>
      <c r="G19">
        <v>0</v>
      </c>
      <c r="H19" s="5">
        <v>1.7208960911287699E-5</v>
      </c>
      <c r="I19" s="5">
        <v>2.8768784818324402E-7</v>
      </c>
      <c r="J19">
        <v>3.3243632642994598E-4</v>
      </c>
      <c r="K19">
        <v>0.10920586178936199</v>
      </c>
      <c r="L19">
        <v>0.110418215553449</v>
      </c>
      <c r="M19">
        <v>7.2398825703009801E-4</v>
      </c>
      <c r="N19" t="s">
        <v>52</v>
      </c>
      <c r="O19">
        <v>0.1</v>
      </c>
      <c r="P19">
        <v>11</v>
      </c>
      <c r="Q19">
        <v>1.6481650483119699E-3</v>
      </c>
      <c r="R19">
        <v>1.6664622263884801E-3</v>
      </c>
      <c r="S19">
        <v>1.0926630870116399E-5</v>
      </c>
      <c r="T19">
        <v>0</v>
      </c>
      <c r="U19">
        <v>0</v>
      </c>
      <c r="V19">
        <v>0</v>
      </c>
      <c r="W19">
        <v>1.61112321598457E-3</v>
      </c>
      <c r="X19">
        <v>7.3941439847443504E-5</v>
      </c>
      <c r="Y19">
        <v>1.08545188885599E-5</v>
      </c>
      <c r="Z19">
        <v>1.7319792931660401E-3</v>
      </c>
      <c r="AA19">
        <v>7.4462110887135197E-2</v>
      </c>
      <c r="AB19">
        <v>3.3717678364587601E-6</v>
      </c>
      <c r="AC19">
        <v>0.1</v>
      </c>
      <c r="AD19">
        <v>100</v>
      </c>
      <c r="AE19">
        <v>13.957372480144</v>
      </c>
      <c r="AF19">
        <v>92.480233795174101</v>
      </c>
      <c r="AG19">
        <v>19.778742894656101</v>
      </c>
      <c r="AH19">
        <f t="shared" si="0"/>
        <v>1.3957372480144001</v>
      </c>
      <c r="AI19">
        <f t="shared" si="29"/>
        <v>1.9778742894656103</v>
      </c>
      <c r="AJ19">
        <f t="shared" si="30"/>
        <v>1.3957372480144001</v>
      </c>
      <c r="AK19">
        <f t="shared" si="45"/>
        <v>1.9778742894656103</v>
      </c>
      <c r="AL19">
        <f t="shared" si="1"/>
        <v>0.61610650274869927</v>
      </c>
      <c r="AM19">
        <f t="shared" si="31"/>
        <v>0.77963074526570086</v>
      </c>
      <c r="AN19">
        <f t="shared" si="32"/>
        <v>0.61610650274869927</v>
      </c>
      <c r="AO19" s="5">
        <f t="shared" si="2"/>
        <v>1.7208960911287699E-3</v>
      </c>
      <c r="AP19" s="5">
        <f t="shared" si="3"/>
        <v>2.8768784818324403E-5</v>
      </c>
      <c r="AQ19" s="5">
        <f t="shared" si="4"/>
        <v>3.3243632642994597E-2</v>
      </c>
      <c r="AR19">
        <f t="shared" si="33"/>
        <v>10</v>
      </c>
      <c r="AS19" s="5">
        <f t="shared" si="5"/>
        <v>0.154143585092054</v>
      </c>
      <c r="AT19" s="8">
        <f t="shared" si="6"/>
        <v>0.154143585092054</v>
      </c>
      <c r="AU19" s="5">
        <f t="shared" si="7"/>
        <v>3.4254130020456498E-2</v>
      </c>
      <c r="AV19" s="5">
        <f t="shared" si="8"/>
        <v>0.15242268900092523</v>
      </c>
      <c r="AW19" s="8">
        <f t="shared" si="9"/>
        <v>0.15411481630723567</v>
      </c>
      <c r="AX19" s="5">
        <f t="shared" si="10"/>
        <v>1.0104973774619011E-3</v>
      </c>
      <c r="AY19" s="5">
        <f t="shared" si="11"/>
        <v>0.1489970516870858</v>
      </c>
      <c r="AZ19">
        <f t="shared" si="12"/>
        <v>6.8381216442433774E-3</v>
      </c>
      <c r="BA19">
        <f t="shared" si="13"/>
        <v>1.0038284445481529E-3</v>
      </c>
      <c r="BB19" s="5">
        <f t="shared" si="14"/>
        <v>95.000000000001478</v>
      </c>
      <c r="BC19" s="5">
        <f t="shared" si="15"/>
        <v>0.15683900177587734</v>
      </c>
      <c r="BD19" s="5">
        <f t="shared" si="16"/>
        <v>0.30633796768523719</v>
      </c>
      <c r="BE19" s="16">
        <f t="shared" si="17"/>
        <v>0.31468183199630284</v>
      </c>
      <c r="BF19">
        <f t="shared" si="18"/>
        <v>3.4256373138399315E-3</v>
      </c>
      <c r="BG19">
        <f t="shared" si="19"/>
        <v>0.147276694663002</v>
      </c>
      <c r="BH19">
        <f t="shared" si="20"/>
        <v>6.668932913778868E-6</v>
      </c>
      <c r="BI19">
        <f t="shared" si="21"/>
        <v>0.30142467075242518</v>
      </c>
      <c r="BJ19">
        <f t="shared" si="22"/>
        <v>1.676449618713185</v>
      </c>
      <c r="BK19">
        <f t="shared" si="23"/>
        <v>0.30142467075242518</v>
      </c>
      <c r="BL19">
        <f t="shared" si="34"/>
        <v>1.081055416018126</v>
      </c>
      <c r="BM19">
        <f t="shared" si="35"/>
        <v>0.15413797269005253</v>
      </c>
      <c r="BN19">
        <f t="shared" si="36"/>
        <v>0.30142467075242518</v>
      </c>
      <c r="BO19" s="5">
        <f t="shared" si="24"/>
        <v>1.081055416018126</v>
      </c>
      <c r="BP19" s="5">
        <f t="shared" si="25"/>
        <v>0.31468183199630284</v>
      </c>
      <c r="BQ19" s="4">
        <f t="shared" si="37"/>
        <v>2.7914744960288003</v>
      </c>
      <c r="BR19" s="5">
        <f t="shared" si="26"/>
        <v>0.14140085295381821</v>
      </c>
      <c r="BS19">
        <f t="shared" si="27"/>
        <v>10.670864282530186</v>
      </c>
      <c r="BT19">
        <f t="shared" si="28"/>
        <v>10.369439611777761</v>
      </c>
      <c r="BU19">
        <f t="shared" si="38"/>
        <v>9.58980886651206</v>
      </c>
      <c r="BV19">
        <f t="shared" si="39"/>
        <v>1.676449618713185</v>
      </c>
      <c r="BW19">
        <f t="shared" si="40"/>
        <v>0.30142467075242518</v>
      </c>
      <c r="BX19" s="4">
        <f t="shared" si="41"/>
        <v>3.9557485789312206</v>
      </c>
      <c r="BY19">
        <f t="shared" si="42"/>
        <v>0.14004130711292079</v>
      </c>
      <c r="BZ19">
        <f t="shared" si="43"/>
        <v>23.677346825701715</v>
      </c>
      <c r="CA19">
        <f t="shared" si="44"/>
        <v>22.00089720698853</v>
      </c>
    </row>
    <row r="20" spans="1:79" x14ac:dyDescent="0.25">
      <c r="A20">
        <v>4</v>
      </c>
      <c r="B20">
        <v>1.54143585092054E-3</v>
      </c>
      <c r="C20">
        <v>1.54143585092054E-3</v>
      </c>
      <c r="D20">
        <v>3.4254130020456501E-4</v>
      </c>
      <c r="E20">
        <v>0</v>
      </c>
      <c r="F20">
        <v>0</v>
      </c>
      <c r="G20">
        <v>0</v>
      </c>
      <c r="H20" s="5">
        <v>1.7208960911287699E-5</v>
      </c>
      <c r="I20" s="5">
        <v>2.8768784818324402E-7</v>
      </c>
      <c r="J20">
        <v>3.3243632642994598E-4</v>
      </c>
      <c r="K20">
        <v>0.10920586178936199</v>
      </c>
      <c r="L20">
        <v>0.110418215553449</v>
      </c>
      <c r="M20">
        <v>7.2398825703009801E-4</v>
      </c>
      <c r="N20" t="s">
        <v>52</v>
      </c>
      <c r="O20">
        <v>0.1</v>
      </c>
      <c r="P20">
        <v>12</v>
      </c>
      <c r="Q20">
        <v>1.6481650483119699E-3</v>
      </c>
      <c r="R20">
        <v>1.6664622263884801E-3</v>
      </c>
      <c r="S20">
        <v>1.0926630870116399E-5</v>
      </c>
      <c r="T20">
        <v>0</v>
      </c>
      <c r="U20">
        <v>0</v>
      </c>
      <c r="V20">
        <v>0</v>
      </c>
      <c r="W20">
        <v>1.6111242193774301E-3</v>
      </c>
      <c r="X20">
        <v>7.3941490785069596E-5</v>
      </c>
      <c r="Y20">
        <v>1.08545207611103E-5</v>
      </c>
      <c r="Z20">
        <v>1.7319455084018099E-3</v>
      </c>
      <c r="AA20">
        <v>7.4462673066500798E-2</v>
      </c>
      <c r="AB20">
        <v>3.3717058444944401E-6</v>
      </c>
      <c r="AC20">
        <v>0.1</v>
      </c>
      <c r="AD20">
        <v>100</v>
      </c>
      <c r="AE20">
        <v>13.957372480144</v>
      </c>
      <c r="AF20">
        <v>92.480233795174101</v>
      </c>
      <c r="AG20">
        <v>19.778592936186602</v>
      </c>
      <c r="AH20">
        <f t="shared" si="0"/>
        <v>1.3957372480144001</v>
      </c>
      <c r="AI20">
        <f t="shared" si="29"/>
        <v>1.9778592936186603</v>
      </c>
      <c r="AJ20">
        <f t="shared" si="30"/>
        <v>1.3957372480144001</v>
      </c>
      <c r="AK20">
        <f t="shared" si="45"/>
        <v>1.9778592936186603</v>
      </c>
      <c r="AL20">
        <f t="shared" si="1"/>
        <v>0.61610650274869927</v>
      </c>
      <c r="AM20">
        <f t="shared" si="31"/>
        <v>0.77963074526570086</v>
      </c>
      <c r="AN20">
        <f t="shared" si="32"/>
        <v>0.61610650274869927</v>
      </c>
      <c r="AO20" s="5">
        <f t="shared" si="2"/>
        <v>1.7208960911287699E-3</v>
      </c>
      <c r="AP20" s="5">
        <f t="shared" si="3"/>
        <v>2.8768784818324403E-5</v>
      </c>
      <c r="AQ20" s="5">
        <f t="shared" si="4"/>
        <v>3.3243632642994597E-2</v>
      </c>
      <c r="AR20">
        <f t="shared" si="33"/>
        <v>10</v>
      </c>
      <c r="AS20" s="5">
        <f t="shared" si="5"/>
        <v>0.154143585092054</v>
      </c>
      <c r="AT20" s="8">
        <f t="shared" si="6"/>
        <v>0.154143585092054</v>
      </c>
      <c r="AU20" s="5">
        <f t="shared" si="7"/>
        <v>3.4254130020456498E-2</v>
      </c>
      <c r="AV20" s="5">
        <f t="shared" si="8"/>
        <v>0.15242268900092523</v>
      </c>
      <c r="AW20" s="8">
        <f t="shared" si="9"/>
        <v>0.15411481630723567</v>
      </c>
      <c r="AX20" s="5">
        <f t="shared" si="10"/>
        <v>1.0104973774619011E-3</v>
      </c>
      <c r="AY20" s="5">
        <f t="shared" si="11"/>
        <v>0.14899714448109211</v>
      </c>
      <c r="AZ20">
        <f t="shared" si="12"/>
        <v>6.8381263549669473E-3</v>
      </c>
      <c r="BA20">
        <f t="shared" si="13"/>
        <v>1.0038286177220517E-3</v>
      </c>
      <c r="BB20" s="5">
        <f t="shared" si="14"/>
        <v>95.000000000000043</v>
      </c>
      <c r="BC20" s="5">
        <f t="shared" si="15"/>
        <v>0.15683909945378111</v>
      </c>
      <c r="BD20" s="5">
        <f t="shared" si="16"/>
        <v>0.30633815824373423</v>
      </c>
      <c r="BE20" s="16">
        <f t="shared" si="17"/>
        <v>0.31468202752528424</v>
      </c>
      <c r="BF20">
        <f t="shared" si="18"/>
        <v>3.4255445198336154E-3</v>
      </c>
      <c r="BG20">
        <f t="shared" si="19"/>
        <v>0.1472766899522665</v>
      </c>
      <c r="BH20">
        <f t="shared" si="20"/>
        <v>6.6687597398816818E-6</v>
      </c>
      <c r="BI20">
        <f t="shared" si="21"/>
        <v>0.30142447522341992</v>
      </c>
      <c r="BJ20">
        <f t="shared" si="22"/>
        <v>1.6764348183952404</v>
      </c>
      <c r="BK20">
        <f t="shared" si="23"/>
        <v>0.30142447522341992</v>
      </c>
      <c r="BL20">
        <f t="shared" si="34"/>
        <v>1.0810552204891208</v>
      </c>
      <c r="BM20">
        <f t="shared" si="35"/>
        <v>0.15413778213154355</v>
      </c>
      <c r="BN20">
        <f t="shared" si="36"/>
        <v>0.30142447522341992</v>
      </c>
      <c r="BO20" s="5">
        <f t="shared" si="24"/>
        <v>1.0810552204891208</v>
      </c>
      <c r="BP20" s="5">
        <f t="shared" si="25"/>
        <v>0.31468202752528424</v>
      </c>
      <c r="BQ20" s="4">
        <f t="shared" si="37"/>
        <v>2.7914744960288003</v>
      </c>
      <c r="BR20" s="5">
        <f t="shared" si="26"/>
        <v>0.14140093191285191</v>
      </c>
      <c r="BS20">
        <f t="shared" si="27"/>
        <v>10.670856393839262</v>
      </c>
      <c r="BT20">
        <f t="shared" si="28"/>
        <v>10.369431918615842</v>
      </c>
      <c r="BU20">
        <f t="shared" si="38"/>
        <v>9.5898011733501409</v>
      </c>
      <c r="BV20">
        <f t="shared" si="39"/>
        <v>1.6764348183952404</v>
      </c>
      <c r="BW20">
        <f t="shared" si="40"/>
        <v>0.30142447522341992</v>
      </c>
      <c r="BX20" s="4">
        <f t="shared" si="41"/>
        <v>3.9557185872373206</v>
      </c>
      <c r="BY20">
        <f t="shared" si="42"/>
        <v>0.14004114752492339</v>
      </c>
      <c r="BZ20">
        <f t="shared" si="43"/>
        <v>23.676985259770358</v>
      </c>
      <c r="CA20">
        <f t="shared" si="44"/>
        <v>22.000550441375118</v>
      </c>
    </row>
    <row r="21" spans="1:79" x14ac:dyDescent="0.25">
      <c r="A21">
        <v>4</v>
      </c>
      <c r="B21">
        <v>1.54143585092054E-3</v>
      </c>
      <c r="C21">
        <v>1.54143585092054E-3</v>
      </c>
      <c r="D21">
        <v>3.4254130020456501E-4</v>
      </c>
      <c r="E21">
        <v>0</v>
      </c>
      <c r="F21">
        <v>0</v>
      </c>
      <c r="G21">
        <v>0</v>
      </c>
      <c r="H21" s="5">
        <v>1.7208960911287699E-5</v>
      </c>
      <c r="I21" s="5">
        <v>2.8768784818324402E-7</v>
      </c>
      <c r="J21">
        <v>3.3243632642994598E-4</v>
      </c>
      <c r="K21">
        <v>0.10920586178936199</v>
      </c>
      <c r="L21">
        <v>0.110418215553449</v>
      </c>
      <c r="M21">
        <v>7.2398825703009801E-4</v>
      </c>
      <c r="N21" t="s">
        <v>52</v>
      </c>
      <c r="O21">
        <v>0.1</v>
      </c>
      <c r="P21">
        <v>13</v>
      </c>
      <c r="Q21">
        <v>1.6481650483119699E-3</v>
      </c>
      <c r="R21">
        <v>1.6664622263884801E-3</v>
      </c>
      <c r="S21">
        <v>1.0926630870116399E-5</v>
      </c>
      <c r="T21">
        <v>0</v>
      </c>
      <c r="U21">
        <v>0</v>
      </c>
      <c r="V21">
        <v>0</v>
      </c>
      <c r="W21">
        <v>1.6111245032140399E-3</v>
      </c>
      <c r="X21">
        <v>7.3941505194138695E-5</v>
      </c>
      <c r="Y21">
        <v>1.08545212908117E-5</v>
      </c>
      <c r="Z21">
        <v>1.73193595136525E-3</v>
      </c>
      <c r="AA21">
        <v>7.4462832095842299E-2</v>
      </c>
      <c r="AB21">
        <v>3.3716883082028299E-6</v>
      </c>
      <c r="AC21">
        <v>0.1</v>
      </c>
      <c r="AD21">
        <v>100</v>
      </c>
      <c r="AE21">
        <v>13.957372480144</v>
      </c>
      <c r="AF21">
        <v>92.480233795174101</v>
      </c>
      <c r="AG21">
        <v>19.778550516505899</v>
      </c>
      <c r="AH21">
        <f t="shared" si="0"/>
        <v>1.3957372480144001</v>
      </c>
      <c r="AI21">
        <f t="shared" si="29"/>
        <v>1.9778550516505899</v>
      </c>
      <c r="AJ21">
        <f t="shared" si="30"/>
        <v>1.3957372480144001</v>
      </c>
      <c r="AK21">
        <f t="shared" si="45"/>
        <v>1.9778550516505899</v>
      </c>
      <c r="AL21">
        <f t="shared" si="1"/>
        <v>0.61610650274869927</v>
      </c>
      <c r="AM21">
        <f t="shared" si="31"/>
        <v>0.77963074526570086</v>
      </c>
      <c r="AN21">
        <f t="shared" si="32"/>
        <v>0.61610650274869927</v>
      </c>
      <c r="AO21" s="5">
        <f t="shared" si="2"/>
        <v>1.7208960911287699E-3</v>
      </c>
      <c r="AP21" s="5">
        <f t="shared" si="3"/>
        <v>2.8768784818324403E-5</v>
      </c>
      <c r="AQ21" s="5">
        <f t="shared" si="4"/>
        <v>3.3243632642994597E-2</v>
      </c>
      <c r="AR21">
        <f t="shared" si="33"/>
        <v>10</v>
      </c>
      <c r="AS21" s="5">
        <f t="shared" si="5"/>
        <v>0.154143585092054</v>
      </c>
      <c r="AT21" s="8">
        <f t="shared" si="6"/>
        <v>0.154143585092054</v>
      </c>
      <c r="AU21" s="5">
        <f t="shared" si="7"/>
        <v>3.4254130020456498E-2</v>
      </c>
      <c r="AV21" s="5">
        <f t="shared" si="8"/>
        <v>0.15242268900092523</v>
      </c>
      <c r="AW21" s="8">
        <f t="shared" si="9"/>
        <v>0.15411481630723567</v>
      </c>
      <c r="AX21" s="5">
        <f t="shared" si="10"/>
        <v>1.0104973774619011E-3</v>
      </c>
      <c r="AY21" s="5">
        <f t="shared" si="11"/>
        <v>0.14899717073036814</v>
      </c>
      <c r="AZ21">
        <f t="shared" si="12"/>
        <v>6.8381276875210265E-3</v>
      </c>
      <c r="BA21">
        <f t="shared" si="13"/>
        <v>1.0038286667089611E-3</v>
      </c>
      <c r="BB21" s="5">
        <f t="shared" si="14"/>
        <v>94.999999999999957</v>
      </c>
      <c r="BC21" s="5">
        <f t="shared" si="15"/>
        <v>0.15683912708459813</v>
      </c>
      <c r="BD21" s="5">
        <f t="shared" si="16"/>
        <v>0.30633821214832074</v>
      </c>
      <c r="BE21" s="16">
        <f t="shared" si="17"/>
        <v>0.31468208283590526</v>
      </c>
      <c r="BF21">
        <f t="shared" si="18"/>
        <v>3.42551827054303E-3</v>
      </c>
      <c r="BG21">
        <f t="shared" si="19"/>
        <v>0.14727668862097137</v>
      </c>
      <c r="BH21">
        <f t="shared" si="20"/>
        <v>6.6687107529701986E-6</v>
      </c>
      <c r="BI21">
        <f t="shared" si="21"/>
        <v>0.30142441991528768</v>
      </c>
      <c r="BJ21">
        <f t="shared" si="22"/>
        <v>1.6764306317353022</v>
      </c>
      <c r="BK21">
        <f t="shared" si="23"/>
        <v>0.30142441991528768</v>
      </c>
      <c r="BL21">
        <f t="shared" si="34"/>
        <v>1.0810551651809885</v>
      </c>
      <c r="BM21">
        <f t="shared" si="35"/>
        <v>0.15413772822818689</v>
      </c>
      <c r="BN21">
        <f t="shared" si="36"/>
        <v>0.30142441991528768</v>
      </c>
      <c r="BO21" s="5">
        <f t="shared" si="24"/>
        <v>1.0810551651809885</v>
      </c>
      <c r="BP21" s="5">
        <f t="shared" si="25"/>
        <v>0.31468208283590526</v>
      </c>
      <c r="BQ21" s="4">
        <f t="shared" si="37"/>
        <v>2.7914744960288003</v>
      </c>
      <c r="BR21" s="5">
        <f t="shared" si="26"/>
        <v>0.14140095424853233</v>
      </c>
      <c r="BS21">
        <f t="shared" si="27"/>
        <v>10.670854162337642</v>
      </c>
      <c r="BT21">
        <f t="shared" si="28"/>
        <v>10.369429742422355</v>
      </c>
      <c r="BU21">
        <f t="shared" si="38"/>
        <v>9.5897989971566542</v>
      </c>
      <c r="BV21">
        <f t="shared" si="39"/>
        <v>1.6764306317353022</v>
      </c>
      <c r="BW21">
        <f t="shared" si="40"/>
        <v>0.30142441991528768</v>
      </c>
      <c r="BX21" s="4">
        <f t="shared" si="41"/>
        <v>3.9557101033011799</v>
      </c>
      <c r="BY21">
        <f t="shared" si="42"/>
        <v>0.1400411023821401</v>
      </c>
      <c r="BZ21">
        <f t="shared" si="43"/>
        <v>23.676882981623287</v>
      </c>
      <c r="CA21">
        <f t="shared" si="44"/>
        <v>22.000452349887986</v>
      </c>
    </row>
    <row r="22" spans="1:79" x14ac:dyDescent="0.25">
      <c r="A22">
        <v>5</v>
      </c>
      <c r="B22">
        <v>1.54143585092054E-3</v>
      </c>
      <c r="C22">
        <v>1.54143585092054E-3</v>
      </c>
      <c r="D22">
        <v>3.4254130020456501E-4</v>
      </c>
      <c r="E22">
        <v>0</v>
      </c>
      <c r="F22">
        <v>0</v>
      </c>
      <c r="G22">
        <v>0</v>
      </c>
      <c r="H22" s="5">
        <v>1.7558377832426001E-5</v>
      </c>
      <c r="I22" s="5">
        <v>1.05063644964669E-7</v>
      </c>
      <c r="J22">
        <v>3.35605387572801E-4</v>
      </c>
      <c r="K22">
        <v>0.12557893497872399</v>
      </c>
      <c r="L22">
        <v>0.12701721899235199</v>
      </c>
      <c r="M22">
        <v>5.7157122982957897E-4</v>
      </c>
      <c r="N22" t="s">
        <v>52</v>
      </c>
      <c r="O22">
        <v>0.1</v>
      </c>
      <c r="P22">
        <v>4</v>
      </c>
      <c r="Q22">
        <v>1.64912412966352E-3</v>
      </c>
      <c r="R22">
        <v>1.66801192221077E-3</v>
      </c>
      <c r="S22">
        <v>7.5059714998626504E-6</v>
      </c>
      <c r="T22">
        <v>0</v>
      </c>
      <c r="U22">
        <v>0</v>
      </c>
      <c r="V22">
        <v>0</v>
      </c>
      <c r="W22">
        <v>1.6039135383284699E-3</v>
      </c>
      <c r="X22">
        <v>7.6970500542168304E-5</v>
      </c>
      <c r="Y22">
        <v>7.4460014818516096E-6</v>
      </c>
      <c r="Z22">
        <v>1.9942467256961298E-3</v>
      </c>
      <c r="AA22">
        <v>7.0181102522975894E-2</v>
      </c>
      <c r="AB22">
        <v>2.6452874985014601E-6</v>
      </c>
      <c r="AC22">
        <v>0.1</v>
      </c>
      <c r="AD22">
        <v>100</v>
      </c>
      <c r="AE22">
        <v>12.134817621653401</v>
      </c>
      <c r="AF22">
        <v>92.405262022285001</v>
      </c>
      <c r="AG22">
        <v>20.948744629576598</v>
      </c>
      <c r="AH22">
        <f t="shared" si="0"/>
        <v>1.2134817621653402</v>
      </c>
      <c r="AI22">
        <f t="shared" si="29"/>
        <v>2.0948744629576601</v>
      </c>
      <c r="AJ22">
        <f t="shared" si="30"/>
        <v>1.2134817621653402</v>
      </c>
      <c r="AK22">
        <f t="shared" si="45"/>
        <v>2.0948744629576601</v>
      </c>
      <c r="AL22">
        <f t="shared" si="1"/>
        <v>0.61512242586354759</v>
      </c>
      <c r="AM22">
        <f t="shared" si="31"/>
        <v>0.59835933630179261</v>
      </c>
      <c r="AN22">
        <f t="shared" si="32"/>
        <v>0.61512242586354759</v>
      </c>
      <c r="AO22" s="5">
        <f t="shared" si="2"/>
        <v>1.7558377832426002E-3</v>
      </c>
      <c r="AP22" s="5">
        <f t="shared" si="3"/>
        <v>1.05063644964669E-5</v>
      </c>
      <c r="AQ22" s="5">
        <f t="shared" si="4"/>
        <v>3.3560538757280101E-2</v>
      </c>
      <c r="AR22">
        <f t="shared" si="33"/>
        <v>10</v>
      </c>
      <c r="AS22" s="5">
        <f t="shared" si="5"/>
        <v>0.154143585092054</v>
      </c>
      <c r="AT22" s="8">
        <f t="shared" si="6"/>
        <v>0.154143585092054</v>
      </c>
      <c r="AU22" s="5">
        <f t="shared" si="7"/>
        <v>3.4254130020456498E-2</v>
      </c>
      <c r="AV22" s="5">
        <f t="shared" si="8"/>
        <v>0.15238774730881141</v>
      </c>
      <c r="AW22" s="8">
        <f t="shared" si="9"/>
        <v>0.15413307872755755</v>
      </c>
      <c r="AX22" s="5">
        <f t="shared" si="10"/>
        <v>6.9359126317639769E-4</v>
      </c>
      <c r="AY22" s="5">
        <f t="shared" si="11"/>
        <v>0.14821005077033253</v>
      </c>
      <c r="AZ22">
        <f t="shared" si="12"/>
        <v>7.1124792705854921E-3</v>
      </c>
      <c r="BA22">
        <f t="shared" si="13"/>
        <v>6.8804971794882033E-4</v>
      </c>
      <c r="BB22" s="5">
        <f t="shared" si="14"/>
        <v>94.999999999621195</v>
      </c>
      <c r="BC22" s="5">
        <f t="shared" si="15"/>
        <v>0.15601057975886684</v>
      </c>
      <c r="BD22" s="5">
        <f t="shared" si="16"/>
        <v>0.30456465538817379</v>
      </c>
      <c r="BE22" s="16">
        <f t="shared" si="17"/>
        <v>0.31270920923568252</v>
      </c>
      <c r="BF22">
        <f t="shared" si="18"/>
        <v>4.1776965384977523E-3</v>
      </c>
      <c r="BG22">
        <f t="shared" si="19"/>
        <v>0.1470205994575956</v>
      </c>
      <c r="BH22">
        <f t="shared" si="20"/>
        <v>5.5415452277918581E-6</v>
      </c>
      <c r="BI22">
        <f t="shared" si="21"/>
        <v>0.30241321662787007</v>
      </c>
      <c r="BJ22">
        <f t="shared" si="22"/>
        <v>1.79246124632979</v>
      </c>
      <c r="BK22">
        <f t="shared" si="23"/>
        <v>0.30241321662787007</v>
      </c>
      <c r="BL22">
        <f t="shared" si="34"/>
        <v>0.90077255292966263</v>
      </c>
      <c r="BM22">
        <f t="shared" si="35"/>
        <v>0.15538430485243279</v>
      </c>
      <c r="BN22">
        <f t="shared" si="36"/>
        <v>0.30241321662787007</v>
      </c>
      <c r="BO22" s="5">
        <f t="shared" si="24"/>
        <v>0.90077255292966263</v>
      </c>
      <c r="BP22" s="5">
        <f t="shared" si="25"/>
        <v>0.31270920923568252</v>
      </c>
      <c r="BQ22" s="4">
        <f t="shared" si="37"/>
        <v>2.4269635243306804</v>
      </c>
      <c r="BR22" s="5">
        <f t="shared" si="26"/>
        <v>0.13850812092241246</v>
      </c>
      <c r="BS22">
        <f t="shared" si="27"/>
        <v>7.8917471232720029</v>
      </c>
      <c r="BT22">
        <f t="shared" si="28"/>
        <v>7.589333906644133</v>
      </c>
      <c r="BU22">
        <f t="shared" si="38"/>
        <v>6.99097457034234</v>
      </c>
      <c r="BV22">
        <f t="shared" si="39"/>
        <v>1.79246124632979</v>
      </c>
      <c r="BW22">
        <f t="shared" si="40"/>
        <v>0.30241321662787007</v>
      </c>
      <c r="BX22" s="4">
        <f t="shared" si="41"/>
        <v>4.1897489259153202</v>
      </c>
      <c r="BY22">
        <f t="shared" si="42"/>
        <v>0.14102735045444029</v>
      </c>
      <c r="BZ22">
        <f t="shared" si="43"/>
        <v>26.625908227571827</v>
      </c>
      <c r="CA22">
        <f t="shared" si="44"/>
        <v>24.833446981242037</v>
      </c>
    </row>
    <row r="23" spans="1:79" x14ac:dyDescent="0.25">
      <c r="A23">
        <v>5</v>
      </c>
      <c r="B23">
        <v>1.54143585092054E-3</v>
      </c>
      <c r="C23">
        <v>1.54143585092054E-3</v>
      </c>
      <c r="D23">
        <v>3.4254130020456501E-4</v>
      </c>
      <c r="E23">
        <v>0</v>
      </c>
      <c r="F23">
        <v>0</v>
      </c>
      <c r="G23">
        <v>0</v>
      </c>
      <c r="H23" s="5">
        <v>1.7558377832426001E-5</v>
      </c>
      <c r="I23" s="5">
        <v>1.05063644964669E-7</v>
      </c>
      <c r="J23">
        <v>3.35605387572801E-4</v>
      </c>
      <c r="K23">
        <v>0.12557893497872399</v>
      </c>
      <c r="L23">
        <v>0.12701721899235199</v>
      </c>
      <c r="M23">
        <v>5.7157122982957897E-4</v>
      </c>
      <c r="N23" t="s">
        <v>52</v>
      </c>
      <c r="O23">
        <v>0.1</v>
      </c>
      <c r="P23">
        <v>5</v>
      </c>
      <c r="Q23">
        <v>1.64912412966352E-3</v>
      </c>
      <c r="R23">
        <v>1.66801192221077E-3</v>
      </c>
      <c r="S23">
        <v>7.5059714998626504E-6</v>
      </c>
      <c r="T23">
        <v>0</v>
      </c>
      <c r="U23">
        <v>0</v>
      </c>
      <c r="V23">
        <v>0</v>
      </c>
      <c r="W23">
        <v>1.6096879788713E-3</v>
      </c>
      <c r="X23">
        <v>7.7267020721356303E-5</v>
      </c>
      <c r="Y23">
        <v>7.45339932047821E-6</v>
      </c>
      <c r="Z23">
        <v>1.8140228936544E-3</v>
      </c>
      <c r="AA23">
        <v>7.3172650253414503E-2</v>
      </c>
      <c r="AB23">
        <v>2.4182668707984701E-6</v>
      </c>
      <c r="AC23">
        <v>0.1</v>
      </c>
      <c r="AD23">
        <v>100</v>
      </c>
      <c r="AE23">
        <v>12.134817621653401</v>
      </c>
      <c r="AF23">
        <v>92.405262022285001</v>
      </c>
      <c r="AG23">
        <v>20.088543864912602</v>
      </c>
      <c r="AH23">
        <f t="shared" si="0"/>
        <v>1.2134817621653402</v>
      </c>
      <c r="AI23">
        <f t="shared" si="29"/>
        <v>2.0088543864912602</v>
      </c>
      <c r="AJ23">
        <f t="shared" si="30"/>
        <v>1.2134817621653402</v>
      </c>
      <c r="AK23">
        <f t="shared" si="45"/>
        <v>2.0088543864912602</v>
      </c>
      <c r="AL23">
        <f t="shared" si="1"/>
        <v>0.61512242586354759</v>
      </c>
      <c r="AM23">
        <f t="shared" si="31"/>
        <v>0.59835933630179261</v>
      </c>
      <c r="AN23">
        <f t="shared" si="32"/>
        <v>0.61512242586354759</v>
      </c>
      <c r="AO23" s="5">
        <f t="shared" si="2"/>
        <v>1.7558377832426002E-3</v>
      </c>
      <c r="AP23" s="5">
        <f t="shared" si="3"/>
        <v>1.05063644964669E-5</v>
      </c>
      <c r="AQ23" s="5">
        <f t="shared" si="4"/>
        <v>3.3560538757280101E-2</v>
      </c>
      <c r="AR23">
        <f t="shared" si="33"/>
        <v>10</v>
      </c>
      <c r="AS23" s="5">
        <f t="shared" si="5"/>
        <v>0.154143585092054</v>
      </c>
      <c r="AT23" s="8">
        <f t="shared" si="6"/>
        <v>0.154143585092054</v>
      </c>
      <c r="AU23" s="5">
        <f t="shared" si="7"/>
        <v>3.4254130020456498E-2</v>
      </c>
      <c r="AV23" s="5">
        <f t="shared" si="8"/>
        <v>0.15238774730881141</v>
      </c>
      <c r="AW23" s="8">
        <f t="shared" si="9"/>
        <v>0.15413307872755755</v>
      </c>
      <c r="AX23" s="5">
        <f t="shared" si="10"/>
        <v>6.9359126317639769E-4</v>
      </c>
      <c r="AY23" s="5">
        <f t="shared" si="11"/>
        <v>0.14874363946172484</v>
      </c>
      <c r="AZ23">
        <f t="shared" si="12"/>
        <v>7.1398792954382537E-3</v>
      </c>
      <c r="BA23">
        <f t="shared" si="13"/>
        <v>6.8873331716550997E-4</v>
      </c>
      <c r="BB23" s="5">
        <f t="shared" si="14"/>
        <v>94.999999994323815</v>
      </c>
      <c r="BC23" s="5">
        <f t="shared" si="15"/>
        <v>0.15657225207432859</v>
      </c>
      <c r="BD23" s="5">
        <f t="shared" si="16"/>
        <v>0.30566025819463616</v>
      </c>
      <c r="BE23" s="16">
        <f t="shared" si="17"/>
        <v>0.3138332374658227</v>
      </c>
      <c r="BF23">
        <f t="shared" si="18"/>
        <v>3.6441078471132105E-3</v>
      </c>
      <c r="BG23">
        <f t="shared" si="19"/>
        <v>0.14699319943276254</v>
      </c>
      <c r="BH23">
        <f t="shared" si="20"/>
        <v>4.8579460111100006E-6</v>
      </c>
      <c r="BI23">
        <f t="shared" si="21"/>
        <v>0.30128918839778485</v>
      </c>
      <c r="BJ23">
        <f t="shared" si="22"/>
        <v>1.7075651980934754</v>
      </c>
      <c r="BK23">
        <f t="shared" si="23"/>
        <v>0.30128918839778485</v>
      </c>
      <c r="BL23">
        <f t="shared" si="34"/>
        <v>0.89964852469957746</v>
      </c>
      <c r="BM23">
        <f t="shared" si="35"/>
        <v>0.15428870204600562</v>
      </c>
      <c r="BN23">
        <f t="shared" si="36"/>
        <v>0.30128918839778485</v>
      </c>
      <c r="BO23" s="5">
        <f t="shared" si="24"/>
        <v>0.89964852469957746</v>
      </c>
      <c r="BP23" s="5">
        <f t="shared" si="25"/>
        <v>0.3138332374658227</v>
      </c>
      <c r="BQ23" s="4">
        <f t="shared" si="37"/>
        <v>2.4269635243306804</v>
      </c>
      <c r="BR23" s="5">
        <f t="shared" si="26"/>
        <v>0.13894897838994011</v>
      </c>
      <c r="BS23">
        <f t="shared" si="27"/>
        <v>7.8568917147283699</v>
      </c>
      <c r="BT23">
        <f t="shared" si="28"/>
        <v>7.5556025263305848</v>
      </c>
      <c r="BU23">
        <f t="shared" si="38"/>
        <v>6.9572431900287919</v>
      </c>
      <c r="BV23">
        <f t="shared" si="39"/>
        <v>1.7075651980934754</v>
      </c>
      <c r="BW23">
        <f t="shared" si="40"/>
        <v>0.30128918839778485</v>
      </c>
      <c r="BX23" s="4">
        <f t="shared" si="41"/>
        <v>4.0177087729825205</v>
      </c>
      <c r="BY23">
        <f t="shared" si="42"/>
        <v>0.14013577064107982</v>
      </c>
      <c r="BZ23">
        <f t="shared" si="43"/>
        <v>24.478045988668807</v>
      </c>
      <c r="CA23">
        <f t="shared" si="44"/>
        <v>22.770480790575331</v>
      </c>
    </row>
    <row r="24" spans="1:79" x14ac:dyDescent="0.25">
      <c r="A24">
        <v>5</v>
      </c>
      <c r="B24">
        <v>1.54143585092054E-3</v>
      </c>
      <c r="C24">
        <v>1.54143585092054E-3</v>
      </c>
      <c r="D24">
        <v>3.4254130020456501E-4</v>
      </c>
      <c r="E24">
        <v>0</v>
      </c>
      <c r="F24">
        <v>0</v>
      </c>
      <c r="G24">
        <v>0</v>
      </c>
      <c r="H24" s="5">
        <v>1.7558377832426001E-5</v>
      </c>
      <c r="I24" s="5">
        <v>1.05063644964669E-7</v>
      </c>
      <c r="J24">
        <v>3.35605387572801E-4</v>
      </c>
      <c r="K24">
        <v>0.12557893497872399</v>
      </c>
      <c r="L24">
        <v>0.12701721899235199</v>
      </c>
      <c r="M24">
        <v>5.7157122982957897E-4</v>
      </c>
      <c r="N24" t="s">
        <v>52</v>
      </c>
      <c r="O24">
        <v>0.1</v>
      </c>
      <c r="P24">
        <v>6</v>
      </c>
      <c r="Q24">
        <v>1.64912412966352E-3</v>
      </c>
      <c r="R24">
        <v>1.66801192221077E-3</v>
      </c>
      <c r="S24">
        <v>7.5059714998626504E-6</v>
      </c>
      <c r="T24">
        <v>0</v>
      </c>
      <c r="U24">
        <v>0</v>
      </c>
      <c r="V24">
        <v>0</v>
      </c>
      <c r="W24">
        <v>1.6114297833378999E-3</v>
      </c>
      <c r="X24">
        <v>7.7356463127358006E-5</v>
      </c>
      <c r="Y24">
        <v>7.4556307325320903E-6</v>
      </c>
      <c r="Z24">
        <v>1.7565900233430501E-3</v>
      </c>
      <c r="AA24">
        <v>7.4125957401307799E-2</v>
      </c>
      <c r="AB24">
        <v>2.3459244762174398E-6</v>
      </c>
      <c r="AC24">
        <v>0.1</v>
      </c>
      <c r="AD24">
        <v>100</v>
      </c>
      <c r="AE24">
        <v>12.134817621653401</v>
      </c>
      <c r="AF24">
        <v>92.405262022285001</v>
      </c>
      <c r="AG24">
        <v>19.829077375432199</v>
      </c>
      <c r="AH24">
        <f t="shared" si="0"/>
        <v>1.2134817621653402</v>
      </c>
      <c r="AI24">
        <f t="shared" si="29"/>
        <v>1.98290773754322</v>
      </c>
      <c r="AJ24">
        <f t="shared" si="30"/>
        <v>1.2134817621653402</v>
      </c>
      <c r="AK24">
        <f t="shared" si="45"/>
        <v>1.98290773754322</v>
      </c>
      <c r="AL24">
        <f t="shared" si="1"/>
        <v>0.61512242586354759</v>
      </c>
      <c r="AM24">
        <f t="shared" si="31"/>
        <v>0.59835933630179261</v>
      </c>
      <c r="AN24">
        <f t="shared" si="32"/>
        <v>0.61512242586354759</v>
      </c>
      <c r="AO24" s="5">
        <f t="shared" si="2"/>
        <v>1.7558377832426002E-3</v>
      </c>
      <c r="AP24" s="5">
        <f t="shared" si="3"/>
        <v>1.05063644964669E-5</v>
      </c>
      <c r="AQ24" s="5">
        <f t="shared" si="4"/>
        <v>3.3560538757280101E-2</v>
      </c>
      <c r="AR24">
        <f t="shared" si="33"/>
        <v>10</v>
      </c>
      <c r="AS24" s="5">
        <f t="shared" si="5"/>
        <v>0.154143585092054</v>
      </c>
      <c r="AT24" s="8">
        <f t="shared" si="6"/>
        <v>0.154143585092054</v>
      </c>
      <c r="AU24" s="5">
        <f t="shared" si="7"/>
        <v>3.4254130020456498E-2</v>
      </c>
      <c r="AV24" s="5">
        <f t="shared" si="8"/>
        <v>0.15238774730881141</v>
      </c>
      <c r="AW24" s="8">
        <f t="shared" si="9"/>
        <v>0.15413307872755755</v>
      </c>
      <c r="AX24" s="5">
        <f t="shared" si="10"/>
        <v>6.9359126317639769E-4</v>
      </c>
      <c r="AY24" s="5">
        <f t="shared" si="11"/>
        <v>0.14890459135985259</v>
      </c>
      <c r="AZ24">
        <f t="shared" si="12"/>
        <v>7.1481442444007448E-3</v>
      </c>
      <c r="BA24">
        <f t="shared" si="13"/>
        <v>6.8893951138102852E-4</v>
      </c>
      <c r="BB24" s="5">
        <f t="shared" si="14"/>
        <v>94.999999999999972</v>
      </c>
      <c r="BC24" s="5">
        <f t="shared" si="15"/>
        <v>0.15674167511563436</v>
      </c>
      <c r="BD24" s="5">
        <f t="shared" si="16"/>
        <v>0.30599073623117745</v>
      </c>
      <c r="BE24" s="16">
        <f t="shared" si="17"/>
        <v>0.31417228974264977</v>
      </c>
      <c r="BF24">
        <f t="shared" si="18"/>
        <v>3.4831559489781594E-3</v>
      </c>
      <c r="BG24">
        <f t="shared" si="19"/>
        <v>0.14698493448385236</v>
      </c>
      <c r="BH24">
        <f t="shared" si="20"/>
        <v>4.6517517955835869E-6</v>
      </c>
      <c r="BI24">
        <f t="shared" si="21"/>
        <v>0.30095013612104782</v>
      </c>
      <c r="BJ24">
        <f t="shared" si="22"/>
        <v>1.6819576014221722</v>
      </c>
      <c r="BK24">
        <f t="shared" si="23"/>
        <v>0.30095013612104782</v>
      </c>
      <c r="BL24">
        <f t="shared" si="34"/>
        <v>0.89930947242284043</v>
      </c>
      <c r="BM24">
        <f t="shared" si="35"/>
        <v>0.15395822400950207</v>
      </c>
      <c r="BN24">
        <f t="shared" si="36"/>
        <v>0.30095013612104782</v>
      </c>
      <c r="BO24" s="5">
        <f t="shared" si="24"/>
        <v>0.89930947242284043</v>
      </c>
      <c r="BP24" s="5">
        <f t="shared" si="25"/>
        <v>0.31417228974264977</v>
      </c>
      <c r="BQ24" s="4">
        <f t="shared" si="37"/>
        <v>2.4269635243306804</v>
      </c>
      <c r="BR24" s="5">
        <f t="shared" si="26"/>
        <v>0.13908188781565842</v>
      </c>
      <c r="BS24">
        <f t="shared" si="27"/>
        <v>7.8464252999935784</v>
      </c>
      <c r="BT24">
        <f t="shared" si="28"/>
        <v>7.5454751638725304</v>
      </c>
      <c r="BU24">
        <f t="shared" si="38"/>
        <v>6.9471158275707374</v>
      </c>
      <c r="BV24">
        <f t="shared" si="39"/>
        <v>1.6819576014221722</v>
      </c>
      <c r="BW24">
        <f t="shared" si="40"/>
        <v>0.30095013612104782</v>
      </c>
      <c r="BX24" s="4">
        <f t="shared" si="41"/>
        <v>3.9658154750864401</v>
      </c>
      <c r="BY24">
        <f t="shared" si="42"/>
        <v>0.13986152695184725</v>
      </c>
      <c r="BZ24">
        <f t="shared" si="43"/>
        <v>23.846205706219131</v>
      </c>
      <c r="CA24">
        <f t="shared" si="44"/>
        <v>22.164248104796958</v>
      </c>
    </row>
    <row r="25" spans="1:79" x14ac:dyDescent="0.25">
      <c r="A25">
        <v>5</v>
      </c>
      <c r="B25">
        <v>1.54143585092054E-3</v>
      </c>
      <c r="C25">
        <v>1.54143585092054E-3</v>
      </c>
      <c r="D25">
        <v>3.4254130020456501E-4</v>
      </c>
      <c r="E25">
        <v>0</v>
      </c>
      <c r="F25">
        <v>0</v>
      </c>
      <c r="G25">
        <v>0</v>
      </c>
      <c r="H25" s="5">
        <v>1.7558377832426001E-5</v>
      </c>
      <c r="I25" s="5">
        <v>1.05063644964669E-7</v>
      </c>
      <c r="J25">
        <v>3.35605387572801E-4</v>
      </c>
      <c r="K25">
        <v>0.12557893497872399</v>
      </c>
      <c r="L25">
        <v>0.12701721899235199</v>
      </c>
      <c r="M25">
        <v>5.7157122982957897E-4</v>
      </c>
      <c r="N25" t="s">
        <v>52</v>
      </c>
      <c r="O25">
        <v>0.1</v>
      </c>
      <c r="P25">
        <v>7</v>
      </c>
      <c r="Q25">
        <v>1.64912412966352E-3</v>
      </c>
      <c r="R25">
        <v>1.66801192221077E-3</v>
      </c>
      <c r="S25">
        <v>7.5059714998626504E-6</v>
      </c>
      <c r="T25">
        <v>0</v>
      </c>
      <c r="U25">
        <v>0</v>
      </c>
      <c r="V25">
        <v>0</v>
      </c>
      <c r="W25">
        <v>1.6119381310433301E-3</v>
      </c>
      <c r="X25">
        <v>7.7382567030457797E-5</v>
      </c>
      <c r="Y25">
        <v>7.4562819717611701E-6</v>
      </c>
      <c r="Z25">
        <v>1.73954373622606E-3</v>
      </c>
      <c r="AA25">
        <v>7.4408902129409704E-2</v>
      </c>
      <c r="AB25">
        <v>2.32445303539035E-6</v>
      </c>
      <c r="AC25">
        <v>0.1</v>
      </c>
      <c r="AD25">
        <v>100</v>
      </c>
      <c r="AE25">
        <v>12.134817621653401</v>
      </c>
      <c r="AF25">
        <v>92.405262022285001</v>
      </c>
      <c r="AG25">
        <v>19.7533518383668</v>
      </c>
      <c r="AH25">
        <f t="shared" si="0"/>
        <v>1.2134817621653402</v>
      </c>
      <c r="AI25">
        <f t="shared" si="29"/>
        <v>1.9753351838366802</v>
      </c>
      <c r="AJ25">
        <f t="shared" si="30"/>
        <v>1.2134817621653402</v>
      </c>
      <c r="AK25">
        <f t="shared" si="45"/>
        <v>1.9753351838366802</v>
      </c>
      <c r="AL25">
        <f t="shared" si="1"/>
        <v>0.61512242586354759</v>
      </c>
      <c r="AM25">
        <f t="shared" si="31"/>
        <v>0.59835933630179261</v>
      </c>
      <c r="AN25">
        <f t="shared" si="32"/>
        <v>0.61512242586354759</v>
      </c>
      <c r="AO25" s="5">
        <f t="shared" si="2"/>
        <v>1.7558377832426002E-3</v>
      </c>
      <c r="AP25" s="5">
        <f t="shared" si="3"/>
        <v>1.05063644964669E-5</v>
      </c>
      <c r="AQ25" s="5">
        <f t="shared" si="4"/>
        <v>3.3560538757280101E-2</v>
      </c>
      <c r="AR25">
        <f t="shared" si="33"/>
        <v>10</v>
      </c>
      <c r="AS25" s="5">
        <f t="shared" si="5"/>
        <v>0.154143585092054</v>
      </c>
      <c r="AT25" s="8">
        <f t="shared" si="6"/>
        <v>0.154143585092054</v>
      </c>
      <c r="AU25" s="5">
        <f t="shared" si="7"/>
        <v>3.4254130020456498E-2</v>
      </c>
      <c r="AV25" s="5">
        <f t="shared" si="8"/>
        <v>0.15238774730881141</v>
      </c>
      <c r="AW25" s="8">
        <f t="shared" si="9"/>
        <v>0.15413307872755755</v>
      </c>
      <c r="AX25" s="5">
        <f t="shared" si="10"/>
        <v>6.9359126317639769E-4</v>
      </c>
      <c r="AY25" s="5">
        <f t="shared" si="11"/>
        <v>0.14895156536277129</v>
      </c>
      <c r="AZ25">
        <f t="shared" si="12"/>
        <v>7.1505563824064856E-3</v>
      </c>
      <c r="BA25">
        <f t="shared" si="13"/>
        <v>6.8899968931263077E-4</v>
      </c>
      <c r="BB25" s="5">
        <f t="shared" si="14"/>
        <v>95.000000000003439</v>
      </c>
      <c r="BC25" s="5">
        <f t="shared" si="15"/>
        <v>0.15679112143449042</v>
      </c>
      <c r="BD25" s="5">
        <f t="shared" si="16"/>
        <v>0.30608718664191803</v>
      </c>
      <c r="BE25" s="16">
        <f t="shared" si="17"/>
        <v>0.31427124255829347</v>
      </c>
      <c r="BF25">
        <f t="shared" si="18"/>
        <v>3.4361819459900497E-3</v>
      </c>
      <c r="BG25">
        <f t="shared" si="19"/>
        <v>0.14698252236688306</v>
      </c>
      <c r="BH25">
        <f t="shared" si="20"/>
        <v>4.591573863982526E-6</v>
      </c>
      <c r="BI25">
        <f t="shared" si="21"/>
        <v>0.30085118334733818</v>
      </c>
      <c r="BJ25">
        <f t="shared" si="22"/>
        <v>1.674484000489342</v>
      </c>
      <c r="BK25">
        <f t="shared" si="23"/>
        <v>0.30085118334733818</v>
      </c>
      <c r="BL25">
        <f t="shared" si="34"/>
        <v>0.89921051964913079</v>
      </c>
      <c r="BM25">
        <f t="shared" si="35"/>
        <v>0.15386177361965914</v>
      </c>
      <c r="BN25">
        <f t="shared" si="36"/>
        <v>0.30085118334733818</v>
      </c>
      <c r="BO25" s="5">
        <f t="shared" si="24"/>
        <v>0.89921051964913079</v>
      </c>
      <c r="BP25" s="5">
        <f t="shared" si="25"/>
        <v>0.31427124255829347</v>
      </c>
      <c r="BQ25" s="4">
        <f t="shared" si="37"/>
        <v>2.4269635243306804</v>
      </c>
      <c r="BR25" s="5">
        <f t="shared" si="26"/>
        <v>0.13912067139376647</v>
      </c>
      <c r="BS25">
        <f t="shared" si="27"/>
        <v>7.8433747839886472</v>
      </c>
      <c r="BT25">
        <f t="shared" si="28"/>
        <v>7.5425236006413092</v>
      </c>
      <c r="BU25">
        <f t="shared" si="38"/>
        <v>6.9441642643395163</v>
      </c>
      <c r="BV25">
        <f t="shared" si="39"/>
        <v>1.674484000489342</v>
      </c>
      <c r="BW25">
        <f t="shared" si="40"/>
        <v>0.30085118334733818</v>
      </c>
      <c r="BX25" s="4">
        <f t="shared" si="41"/>
        <v>3.9506703676733603</v>
      </c>
      <c r="BY25">
        <f t="shared" si="42"/>
        <v>0.13978099850445841</v>
      </c>
      <c r="BZ25">
        <f t="shared" si="43"/>
        <v>23.663210281279351</v>
      </c>
      <c r="CA25">
        <f t="shared" si="44"/>
        <v>21.988726280790008</v>
      </c>
    </row>
    <row r="26" spans="1:79" x14ac:dyDescent="0.25">
      <c r="A26">
        <v>5</v>
      </c>
      <c r="B26">
        <v>1.54143585092054E-3</v>
      </c>
      <c r="C26">
        <v>1.54143585092054E-3</v>
      </c>
      <c r="D26">
        <v>3.4254130020456501E-4</v>
      </c>
      <c r="E26">
        <v>0</v>
      </c>
      <c r="F26">
        <v>0</v>
      </c>
      <c r="G26">
        <v>0</v>
      </c>
      <c r="H26" s="5">
        <v>1.7558377832426001E-5</v>
      </c>
      <c r="I26" s="5">
        <v>1.05063644964669E-7</v>
      </c>
      <c r="J26">
        <v>3.35605387572801E-4</v>
      </c>
      <c r="K26">
        <v>0.12557893497872399</v>
      </c>
      <c r="L26">
        <v>0.12701721899235199</v>
      </c>
      <c r="M26">
        <v>5.7157122982957897E-4</v>
      </c>
      <c r="N26" t="s">
        <v>52</v>
      </c>
      <c r="O26">
        <v>0.1</v>
      </c>
      <c r="P26">
        <v>8</v>
      </c>
      <c r="Q26">
        <v>1.64912412966352E-3</v>
      </c>
      <c r="R26">
        <v>1.66801192221077E-3</v>
      </c>
      <c r="S26">
        <v>7.5059714998626504E-6</v>
      </c>
      <c r="T26">
        <v>0</v>
      </c>
      <c r="U26">
        <v>0</v>
      </c>
      <c r="V26">
        <v>0</v>
      </c>
      <c r="W26">
        <v>1.6120834525789199E-3</v>
      </c>
      <c r="X26">
        <v>7.7390029362408002E-5</v>
      </c>
      <c r="Y26">
        <v>7.4564681417452103E-6</v>
      </c>
      <c r="Z26">
        <v>1.73464665743558E-3</v>
      </c>
      <c r="AA26">
        <v>7.4490186842272293E-2</v>
      </c>
      <c r="AB26">
        <v>2.3182846935160901E-6</v>
      </c>
      <c r="AC26">
        <v>0.1</v>
      </c>
      <c r="AD26">
        <v>100</v>
      </c>
      <c r="AE26">
        <v>12.134817621653401</v>
      </c>
      <c r="AF26">
        <v>92.405262022285001</v>
      </c>
      <c r="AG26">
        <v>19.731704180288602</v>
      </c>
      <c r="AH26">
        <f t="shared" si="0"/>
        <v>1.2134817621653402</v>
      </c>
      <c r="AI26">
        <f t="shared" si="29"/>
        <v>1.9731704180288603</v>
      </c>
      <c r="AJ26">
        <f t="shared" si="30"/>
        <v>1.2134817621653402</v>
      </c>
      <c r="AK26">
        <f t="shared" si="45"/>
        <v>1.9731704180288603</v>
      </c>
      <c r="AL26">
        <f t="shared" si="1"/>
        <v>0.61512242586354759</v>
      </c>
      <c r="AM26">
        <f t="shared" si="31"/>
        <v>0.59835933630179261</v>
      </c>
      <c r="AN26">
        <f t="shared" si="32"/>
        <v>0.61512242586354759</v>
      </c>
      <c r="AO26" s="5">
        <f t="shared" si="2"/>
        <v>1.7558377832426002E-3</v>
      </c>
      <c r="AP26" s="5">
        <f t="shared" si="3"/>
        <v>1.05063644964669E-5</v>
      </c>
      <c r="AQ26" s="5">
        <f t="shared" si="4"/>
        <v>3.3560538757280101E-2</v>
      </c>
      <c r="AR26">
        <f t="shared" si="33"/>
        <v>10</v>
      </c>
      <c r="AS26" s="5">
        <f t="shared" si="5"/>
        <v>0.154143585092054</v>
      </c>
      <c r="AT26" s="8">
        <f t="shared" si="6"/>
        <v>0.154143585092054</v>
      </c>
      <c r="AU26" s="5">
        <f t="shared" si="7"/>
        <v>3.4254130020456498E-2</v>
      </c>
      <c r="AV26" s="5">
        <f t="shared" si="8"/>
        <v>0.15238774730881141</v>
      </c>
      <c r="AW26" s="8">
        <f t="shared" si="9"/>
        <v>0.15413307872755755</v>
      </c>
      <c r="AX26" s="5">
        <f t="shared" si="10"/>
        <v>6.9359126317639769E-4</v>
      </c>
      <c r="AY26" s="5">
        <f t="shared" si="11"/>
        <v>0.14896499383734496</v>
      </c>
      <c r="AZ26">
        <f t="shared" si="12"/>
        <v>7.1512459411456411E-3</v>
      </c>
      <c r="BA26">
        <f t="shared" si="13"/>
        <v>6.8901689239878668E-4</v>
      </c>
      <c r="BB26" s="5">
        <f t="shared" si="14"/>
        <v>95.000000000000043</v>
      </c>
      <c r="BC26" s="5">
        <f t="shared" si="15"/>
        <v>0.15680525667088938</v>
      </c>
      <c r="BD26" s="5">
        <f t="shared" si="16"/>
        <v>0.30611475895443374</v>
      </c>
      <c r="BE26" s="16">
        <f t="shared" si="17"/>
        <v>0.31429953023417756</v>
      </c>
      <c r="BF26">
        <f t="shared" si="18"/>
        <v>3.4227534701845286E-3</v>
      </c>
      <c r="BG26">
        <f t="shared" si="19"/>
        <v>0.14698183311061433</v>
      </c>
      <c r="BH26">
        <f t="shared" si="20"/>
        <v>4.5743707778150515E-6</v>
      </c>
      <c r="BI26">
        <f t="shared" si="21"/>
        <v>0.30082289627393116</v>
      </c>
      <c r="BJ26">
        <f t="shared" si="22"/>
        <v>1.6723475217549291</v>
      </c>
      <c r="BK26">
        <f t="shared" si="23"/>
        <v>0.30082289627393116</v>
      </c>
      <c r="BL26">
        <f t="shared" si="34"/>
        <v>0.89918223257572372</v>
      </c>
      <c r="BM26">
        <f t="shared" si="35"/>
        <v>0.15383420160715011</v>
      </c>
      <c r="BN26">
        <f t="shared" si="36"/>
        <v>0.30082289627393116</v>
      </c>
      <c r="BO26" s="5">
        <f t="shared" si="24"/>
        <v>0.89918223257572372</v>
      </c>
      <c r="BP26" s="5">
        <f t="shared" si="25"/>
        <v>0.31429953023417756</v>
      </c>
      <c r="BQ26" s="4">
        <f t="shared" si="37"/>
        <v>2.4269635243306804</v>
      </c>
      <c r="BR26" s="5">
        <f t="shared" si="26"/>
        <v>0.13913175795412691</v>
      </c>
      <c r="BS26">
        <f t="shared" si="27"/>
        <v>7.8425030786537882</v>
      </c>
      <c r="BT26">
        <f t="shared" si="28"/>
        <v>7.5416801823798574</v>
      </c>
      <c r="BU26">
        <f t="shared" si="38"/>
        <v>6.9433208460780644</v>
      </c>
      <c r="BV26">
        <f t="shared" si="39"/>
        <v>1.6723475217549291</v>
      </c>
      <c r="BW26">
        <f t="shared" si="40"/>
        <v>0.30082289627393116</v>
      </c>
      <c r="BX26" s="4">
        <f t="shared" si="41"/>
        <v>3.9463408360577206</v>
      </c>
      <c r="BY26">
        <f t="shared" si="42"/>
        <v>0.13975793668487049</v>
      </c>
      <c r="BZ26">
        <f t="shared" si="43"/>
        <v>23.611014421536783</v>
      </c>
      <c r="CA26">
        <f t="shared" si="44"/>
        <v>21.938666899781854</v>
      </c>
    </row>
    <row r="27" spans="1:79" x14ac:dyDescent="0.25">
      <c r="A27">
        <v>5</v>
      </c>
      <c r="B27">
        <v>1.54143585092054E-3</v>
      </c>
      <c r="C27">
        <v>1.54143585092054E-3</v>
      </c>
      <c r="D27">
        <v>3.4254130020456501E-4</v>
      </c>
      <c r="E27">
        <v>0</v>
      </c>
      <c r="F27">
        <v>0</v>
      </c>
      <c r="G27">
        <v>0</v>
      </c>
      <c r="H27" s="5">
        <v>1.7558377832426001E-5</v>
      </c>
      <c r="I27" s="5">
        <v>1.05063644964669E-7</v>
      </c>
      <c r="J27">
        <v>3.35605387572801E-4</v>
      </c>
      <c r="K27">
        <v>0.12557893497872399</v>
      </c>
      <c r="L27">
        <v>0.12701721899235199</v>
      </c>
      <c r="M27">
        <v>5.7157122982957897E-4</v>
      </c>
      <c r="N27" t="s">
        <v>52</v>
      </c>
      <c r="O27">
        <v>0.1</v>
      </c>
      <c r="P27">
        <v>9</v>
      </c>
      <c r="Q27">
        <v>1.64912412966352E-3</v>
      </c>
      <c r="R27">
        <v>1.66801192221077E-3</v>
      </c>
      <c r="S27">
        <v>7.5059714998626504E-6</v>
      </c>
      <c r="T27">
        <v>0</v>
      </c>
      <c r="U27">
        <v>0</v>
      </c>
      <c r="V27">
        <v>0</v>
      </c>
      <c r="W27">
        <v>1.6121246149811801E-3</v>
      </c>
      <c r="X27">
        <v>7.7392143035352694E-5</v>
      </c>
      <c r="Y27">
        <v>7.4565208744733498E-6</v>
      </c>
      <c r="Z27">
        <v>1.73325760784225E-3</v>
      </c>
      <c r="AA27">
        <v>7.4513243137229707E-2</v>
      </c>
      <c r="AB27">
        <v>2.3165350520080302E-6</v>
      </c>
      <c r="AC27">
        <v>0.1</v>
      </c>
      <c r="AD27">
        <v>100</v>
      </c>
      <c r="AE27">
        <v>12.134817621653401</v>
      </c>
      <c r="AF27">
        <v>92.405262022285001</v>
      </c>
      <c r="AG27">
        <v>19.725572433293401</v>
      </c>
      <c r="AH27">
        <f t="shared" si="0"/>
        <v>1.2134817621653402</v>
      </c>
      <c r="AI27">
        <f t="shared" si="29"/>
        <v>1.9725572433293401</v>
      </c>
      <c r="AJ27">
        <f t="shared" si="30"/>
        <v>1.2134817621653402</v>
      </c>
      <c r="AK27">
        <f t="shared" si="45"/>
        <v>1.9725572433293401</v>
      </c>
      <c r="AL27">
        <f t="shared" si="1"/>
        <v>0.61512242586354759</v>
      </c>
      <c r="AM27">
        <f t="shared" si="31"/>
        <v>0.59835933630179261</v>
      </c>
      <c r="AN27">
        <f t="shared" si="32"/>
        <v>0.61512242586354759</v>
      </c>
      <c r="AO27" s="5">
        <f t="shared" si="2"/>
        <v>1.7558377832426002E-3</v>
      </c>
      <c r="AP27" s="5">
        <f t="shared" si="3"/>
        <v>1.05063644964669E-5</v>
      </c>
      <c r="AQ27" s="5">
        <f t="shared" si="4"/>
        <v>3.3560538757280101E-2</v>
      </c>
      <c r="AR27">
        <f t="shared" si="33"/>
        <v>10</v>
      </c>
      <c r="AS27" s="5">
        <f t="shared" si="5"/>
        <v>0.154143585092054</v>
      </c>
      <c r="AT27" s="8">
        <f t="shared" si="6"/>
        <v>0.154143585092054</v>
      </c>
      <c r="AU27" s="5">
        <f t="shared" si="7"/>
        <v>3.4254130020456498E-2</v>
      </c>
      <c r="AV27" s="5">
        <f t="shared" si="8"/>
        <v>0.15238774730881141</v>
      </c>
      <c r="AW27" s="8">
        <f t="shared" si="9"/>
        <v>0.15413307872755755</v>
      </c>
      <c r="AX27" s="5">
        <f t="shared" si="10"/>
        <v>6.9359126317639769E-4</v>
      </c>
      <c r="AY27" s="5">
        <f t="shared" si="11"/>
        <v>0.14896879745991126</v>
      </c>
      <c r="AZ27">
        <f t="shared" si="12"/>
        <v>7.1514412556479253E-3</v>
      </c>
      <c r="BA27">
        <f t="shared" si="13"/>
        <v>6.8902176518034753E-4</v>
      </c>
      <c r="BB27" s="5">
        <f t="shared" si="14"/>
        <v>95.000000002046249</v>
      </c>
      <c r="BC27" s="5">
        <f t="shared" si="15"/>
        <v>0.15680926048073954</v>
      </c>
      <c r="BD27" s="5">
        <f t="shared" si="16"/>
        <v>0.30612256882324096</v>
      </c>
      <c r="BE27" s="16">
        <f t="shared" si="17"/>
        <v>0.31430754272665939</v>
      </c>
      <c r="BF27">
        <f t="shared" si="18"/>
        <v>3.4189498489049152E-3</v>
      </c>
      <c r="BG27">
        <f t="shared" si="19"/>
        <v>0.14698163747430271</v>
      </c>
      <c r="BH27">
        <f t="shared" si="20"/>
        <v>4.5694979962647494E-6</v>
      </c>
      <c r="BI27">
        <f t="shared" si="21"/>
        <v>0.30081488314040405</v>
      </c>
      <c r="BJ27">
        <f t="shared" si="22"/>
        <v>1.6717423601889361</v>
      </c>
      <c r="BK27">
        <f t="shared" si="23"/>
        <v>0.30081488314040405</v>
      </c>
      <c r="BL27">
        <f t="shared" si="34"/>
        <v>0.89917421944219666</v>
      </c>
      <c r="BM27">
        <f t="shared" si="35"/>
        <v>0.15382639141910692</v>
      </c>
      <c r="BN27">
        <f t="shared" si="36"/>
        <v>0.30081488314040405</v>
      </c>
      <c r="BO27" s="5">
        <f t="shared" si="24"/>
        <v>0.89917421944219666</v>
      </c>
      <c r="BP27" s="5">
        <f t="shared" si="25"/>
        <v>0.31430754272665939</v>
      </c>
      <c r="BQ27" s="4">
        <f t="shared" si="37"/>
        <v>2.4269635243306804</v>
      </c>
      <c r="BR27" s="5">
        <f t="shared" si="26"/>
        <v>0.13913489818401334</v>
      </c>
      <c r="BS27">
        <f t="shared" si="27"/>
        <v>7.8422561883739714</v>
      </c>
      <c r="BT27">
        <f t="shared" si="28"/>
        <v>7.5414413052335671</v>
      </c>
      <c r="BU27">
        <f t="shared" si="38"/>
        <v>6.9430819689317742</v>
      </c>
      <c r="BV27">
        <f t="shared" si="39"/>
        <v>1.6717423601889361</v>
      </c>
      <c r="BW27">
        <f t="shared" si="40"/>
        <v>0.30081488314040405</v>
      </c>
      <c r="BX27" s="4">
        <f t="shared" si="41"/>
        <v>3.9451144866586803</v>
      </c>
      <c r="BY27">
        <f t="shared" si="42"/>
        <v>0.13975140068520531</v>
      </c>
      <c r="BZ27">
        <f t="shared" si="43"/>
        <v>23.596239360771371</v>
      </c>
      <c r="CA27">
        <f t="shared" si="44"/>
        <v>21.924497000582434</v>
      </c>
    </row>
    <row r="28" spans="1:79" x14ac:dyDescent="0.25">
      <c r="A28">
        <v>5</v>
      </c>
      <c r="B28">
        <v>1.54143585092054E-3</v>
      </c>
      <c r="C28">
        <v>1.54143585092054E-3</v>
      </c>
      <c r="D28">
        <v>3.4254130020456501E-4</v>
      </c>
      <c r="E28">
        <v>0</v>
      </c>
      <c r="F28">
        <v>0</v>
      </c>
      <c r="G28">
        <v>0</v>
      </c>
      <c r="H28" s="5">
        <v>1.7558377832426001E-5</v>
      </c>
      <c r="I28" s="5">
        <v>1.05063644964669E-7</v>
      </c>
      <c r="J28">
        <v>3.35605387572801E-4</v>
      </c>
      <c r="K28">
        <v>0.12557893497872399</v>
      </c>
      <c r="L28">
        <v>0.12701721899235199</v>
      </c>
      <c r="M28">
        <v>5.7157122982957897E-4</v>
      </c>
      <c r="N28" t="s">
        <v>52</v>
      </c>
      <c r="O28">
        <v>0.1</v>
      </c>
      <c r="P28">
        <v>10</v>
      </c>
      <c r="Q28">
        <v>1.64912412966352E-3</v>
      </c>
      <c r="R28">
        <v>1.66801192221077E-3</v>
      </c>
      <c r="S28">
        <v>7.5059714998626504E-6</v>
      </c>
      <c r="T28">
        <v>0</v>
      </c>
      <c r="U28">
        <v>0</v>
      </c>
      <c r="V28">
        <v>0</v>
      </c>
      <c r="W28">
        <v>1.6121362331363101E-3</v>
      </c>
      <c r="X28">
        <v>7.7392739668893999E-5</v>
      </c>
      <c r="Y28">
        <v>7.4565357583961302E-6</v>
      </c>
      <c r="Z28">
        <v>1.73286538721668E-3</v>
      </c>
      <c r="AA28">
        <v>7.4519753455558904E-2</v>
      </c>
      <c r="AB28">
        <v>2.3160410123781799E-6</v>
      </c>
      <c r="AC28">
        <v>0.1</v>
      </c>
      <c r="AD28">
        <v>100</v>
      </c>
      <c r="AE28">
        <v>12.134817621653401</v>
      </c>
      <c r="AF28">
        <v>92.405262022285001</v>
      </c>
      <c r="AG28">
        <v>19.723841758619901</v>
      </c>
      <c r="AH28">
        <f t="shared" si="0"/>
        <v>1.2134817621653402</v>
      </c>
      <c r="AI28">
        <f t="shared" si="29"/>
        <v>1.9723841758619902</v>
      </c>
      <c r="AJ28">
        <f t="shared" si="30"/>
        <v>1.2134817621653402</v>
      </c>
      <c r="AK28">
        <f t="shared" si="45"/>
        <v>1.9723841758619902</v>
      </c>
      <c r="AL28">
        <f t="shared" si="1"/>
        <v>0.61512242586354759</v>
      </c>
      <c r="AM28">
        <f t="shared" si="31"/>
        <v>0.59835933630179261</v>
      </c>
      <c r="AN28">
        <f t="shared" si="32"/>
        <v>0.61512242586354759</v>
      </c>
      <c r="AO28" s="5">
        <f t="shared" si="2"/>
        <v>1.7558377832426002E-3</v>
      </c>
      <c r="AP28" s="5">
        <f t="shared" si="3"/>
        <v>1.05063644964669E-5</v>
      </c>
      <c r="AQ28" s="5">
        <f t="shared" si="4"/>
        <v>3.3560538757280101E-2</v>
      </c>
      <c r="AR28">
        <f t="shared" si="33"/>
        <v>10</v>
      </c>
      <c r="AS28" s="5">
        <f t="shared" si="5"/>
        <v>0.154143585092054</v>
      </c>
      <c r="AT28" s="8">
        <f t="shared" si="6"/>
        <v>0.154143585092054</v>
      </c>
      <c r="AU28" s="5">
        <f t="shared" si="7"/>
        <v>3.4254130020456498E-2</v>
      </c>
      <c r="AV28" s="5">
        <f t="shared" si="8"/>
        <v>0.15238774730881141</v>
      </c>
      <c r="AW28" s="8">
        <f t="shared" si="9"/>
        <v>0.15413307872755755</v>
      </c>
      <c r="AX28" s="5">
        <f t="shared" si="10"/>
        <v>6.9359126317639769E-4</v>
      </c>
      <c r="AY28" s="5">
        <f t="shared" si="11"/>
        <v>0.14896987103858028</v>
      </c>
      <c r="AZ28">
        <f t="shared" si="12"/>
        <v>7.1514963877266401E-3</v>
      </c>
      <c r="BA28">
        <f t="shared" si="13"/>
        <v>6.8902314053313199E-4</v>
      </c>
      <c r="BB28" s="5">
        <f t="shared" si="14"/>
        <v>95.000000000052438</v>
      </c>
      <c r="BC28" s="5">
        <f t="shared" si="15"/>
        <v>0.15681039056684004</v>
      </c>
      <c r="BD28" s="5">
        <f t="shared" si="16"/>
        <v>0.30612477317568693</v>
      </c>
      <c r="BE28" s="16">
        <f t="shared" si="17"/>
        <v>0.31430980427421323</v>
      </c>
      <c r="BF28">
        <f t="shared" si="18"/>
        <v>3.4178762686451402E-3</v>
      </c>
      <c r="BG28">
        <f t="shared" si="19"/>
        <v>0.14698158250488125</v>
      </c>
      <c r="BH28">
        <f t="shared" si="20"/>
        <v>4.568122643462106E-6</v>
      </c>
      <c r="BI28">
        <f t="shared" si="21"/>
        <v>0.3008126219149832</v>
      </c>
      <c r="BJ28">
        <f t="shared" si="22"/>
        <v>1.6715715539470071</v>
      </c>
      <c r="BK28">
        <f t="shared" si="23"/>
        <v>0.3008126219149832</v>
      </c>
      <c r="BL28">
        <f t="shared" si="34"/>
        <v>0.89917195821677587</v>
      </c>
      <c r="BM28">
        <f t="shared" si="35"/>
        <v>0.15382418722613672</v>
      </c>
      <c r="BN28">
        <f t="shared" si="36"/>
        <v>0.3008126219149832</v>
      </c>
      <c r="BO28" s="5">
        <f t="shared" si="24"/>
        <v>0.89917195821677587</v>
      </c>
      <c r="BP28" s="5">
        <f t="shared" si="25"/>
        <v>0.31430980427421323</v>
      </c>
      <c r="BQ28" s="4">
        <f t="shared" si="37"/>
        <v>2.4269635243306804</v>
      </c>
      <c r="BR28" s="5">
        <f t="shared" si="26"/>
        <v>0.13913578451902303</v>
      </c>
      <c r="BS28">
        <f t="shared" si="27"/>
        <v>7.8421865095199195</v>
      </c>
      <c r="BT28">
        <f t="shared" si="28"/>
        <v>7.5413738876049363</v>
      </c>
      <c r="BU28">
        <f t="shared" si="38"/>
        <v>6.9430145513031434</v>
      </c>
      <c r="BV28">
        <f t="shared" si="39"/>
        <v>1.6715715539470071</v>
      </c>
      <c r="BW28">
        <f t="shared" si="40"/>
        <v>0.3008126219149832</v>
      </c>
      <c r="BX28" s="4">
        <f t="shared" si="41"/>
        <v>3.9447683517239804</v>
      </c>
      <c r="BY28">
        <f t="shared" si="42"/>
        <v>0.13974955584373769</v>
      </c>
      <c r="BZ28">
        <f t="shared" si="43"/>
        <v>23.592069841800896</v>
      </c>
      <c r="CA28">
        <f t="shared" si="44"/>
        <v>21.920498287853889</v>
      </c>
    </row>
    <row r="29" spans="1:79" x14ac:dyDescent="0.25">
      <c r="A29">
        <v>5</v>
      </c>
      <c r="B29">
        <v>1.54143585092054E-3</v>
      </c>
      <c r="C29">
        <v>1.54143585092054E-3</v>
      </c>
      <c r="D29">
        <v>3.4254130020456501E-4</v>
      </c>
      <c r="E29">
        <v>0</v>
      </c>
      <c r="F29">
        <v>0</v>
      </c>
      <c r="G29">
        <v>0</v>
      </c>
      <c r="H29" s="5">
        <v>1.7558377832426001E-5</v>
      </c>
      <c r="I29" s="5">
        <v>1.05063644964669E-7</v>
      </c>
      <c r="J29">
        <v>3.35605387572801E-4</v>
      </c>
      <c r="K29">
        <v>0.12557893497872399</v>
      </c>
      <c r="L29">
        <v>0.12701721899235199</v>
      </c>
      <c r="M29">
        <v>5.7157122982957897E-4</v>
      </c>
      <c r="N29" t="s">
        <v>52</v>
      </c>
      <c r="O29">
        <v>0.1</v>
      </c>
      <c r="P29">
        <v>11</v>
      </c>
      <c r="Q29">
        <v>1.64912412966352E-3</v>
      </c>
      <c r="R29">
        <v>1.66801192221077E-3</v>
      </c>
      <c r="S29">
        <v>7.5059714998626504E-6</v>
      </c>
      <c r="T29">
        <v>0</v>
      </c>
      <c r="U29">
        <v>0</v>
      </c>
      <c r="V29">
        <v>0</v>
      </c>
      <c r="W29">
        <v>1.6121395083820099E-3</v>
      </c>
      <c r="X29">
        <v>7.7392907855296494E-5</v>
      </c>
      <c r="Y29">
        <v>7.4565399542604097E-6</v>
      </c>
      <c r="Z29">
        <v>1.73275480734907E-3</v>
      </c>
      <c r="AA29">
        <v>7.4521588927651899E-2</v>
      </c>
      <c r="AB29">
        <v>2.3159017264239102E-6</v>
      </c>
      <c r="AC29">
        <v>0.1</v>
      </c>
      <c r="AD29">
        <v>100</v>
      </c>
      <c r="AE29">
        <v>12.134817621653401</v>
      </c>
      <c r="AF29">
        <v>92.405262022285001</v>
      </c>
      <c r="AG29">
        <v>19.7233538514378</v>
      </c>
      <c r="AH29">
        <f t="shared" si="0"/>
        <v>1.2134817621653402</v>
      </c>
      <c r="AI29">
        <f t="shared" si="29"/>
        <v>1.9723353851437802</v>
      </c>
      <c r="AJ29">
        <f t="shared" si="30"/>
        <v>1.2134817621653402</v>
      </c>
      <c r="AK29">
        <f t="shared" si="45"/>
        <v>1.9723353851437802</v>
      </c>
      <c r="AL29">
        <f t="shared" si="1"/>
        <v>0.61512242586354759</v>
      </c>
      <c r="AM29">
        <f t="shared" si="31"/>
        <v>0.59835933630179261</v>
      </c>
      <c r="AN29">
        <f t="shared" si="32"/>
        <v>0.61512242586354759</v>
      </c>
      <c r="AO29" s="5">
        <f t="shared" si="2"/>
        <v>1.7558377832426002E-3</v>
      </c>
      <c r="AP29" s="5">
        <f t="shared" si="3"/>
        <v>1.05063644964669E-5</v>
      </c>
      <c r="AQ29" s="5">
        <f t="shared" si="4"/>
        <v>3.3560538757280101E-2</v>
      </c>
      <c r="AR29">
        <f t="shared" si="33"/>
        <v>10</v>
      </c>
      <c r="AS29" s="5">
        <f t="shared" si="5"/>
        <v>0.154143585092054</v>
      </c>
      <c r="AT29" s="8">
        <f t="shared" si="6"/>
        <v>0.154143585092054</v>
      </c>
      <c r="AU29" s="5">
        <f t="shared" si="7"/>
        <v>3.4254130020456498E-2</v>
      </c>
      <c r="AV29" s="5">
        <f t="shared" si="8"/>
        <v>0.15238774730881141</v>
      </c>
      <c r="AW29" s="8">
        <f t="shared" si="9"/>
        <v>0.15413307872755755</v>
      </c>
      <c r="AX29" s="5">
        <f t="shared" si="10"/>
        <v>6.9359126317639769E-4</v>
      </c>
      <c r="AY29" s="5">
        <f t="shared" si="11"/>
        <v>0.14897017368851737</v>
      </c>
      <c r="AZ29">
        <f t="shared" si="12"/>
        <v>7.1515119290352317E-3</v>
      </c>
      <c r="BA29">
        <f t="shared" si="13"/>
        <v>6.8902352825307017E-4</v>
      </c>
      <c r="BB29" s="5">
        <f t="shared" si="14"/>
        <v>95.000000000001265</v>
      </c>
      <c r="BC29" s="5">
        <f t="shared" si="15"/>
        <v>0.15681070914580567</v>
      </c>
      <c r="BD29" s="5">
        <f t="shared" si="16"/>
        <v>0.30612539459844956</v>
      </c>
      <c r="BE29" s="16">
        <f t="shared" si="17"/>
        <v>0.31431044181986439</v>
      </c>
      <c r="BF29">
        <f t="shared" si="18"/>
        <v>3.4175736203125645E-3</v>
      </c>
      <c r="BG29">
        <f t="shared" si="19"/>
        <v>0.14698156679914678</v>
      </c>
      <c r="BH29">
        <f t="shared" si="20"/>
        <v>4.5677349235414481E-6</v>
      </c>
      <c r="BI29">
        <f t="shared" si="21"/>
        <v>0.30081198404368931</v>
      </c>
      <c r="BJ29">
        <f t="shared" si="22"/>
        <v>1.6715234011000908</v>
      </c>
      <c r="BK29">
        <f t="shared" si="23"/>
        <v>0.30081198404368931</v>
      </c>
      <c r="BL29">
        <f t="shared" si="34"/>
        <v>0.89917132034548186</v>
      </c>
      <c r="BM29">
        <f t="shared" si="35"/>
        <v>0.15382356564215721</v>
      </c>
      <c r="BN29">
        <f t="shared" si="36"/>
        <v>0.30081198404368931</v>
      </c>
      <c r="BO29" s="5">
        <f t="shared" si="24"/>
        <v>0.89917132034548186</v>
      </c>
      <c r="BP29" s="5">
        <f t="shared" si="25"/>
        <v>0.31431044181986439</v>
      </c>
      <c r="BQ29" s="4">
        <f t="shared" si="37"/>
        <v>2.4269635243306804</v>
      </c>
      <c r="BR29" s="5">
        <f t="shared" si="26"/>
        <v>0.13913603438263181</v>
      </c>
      <c r="BS29">
        <f t="shared" si="27"/>
        <v>7.8421668631197905</v>
      </c>
      <c r="BT29">
        <f t="shared" si="28"/>
        <v>7.5413548790761009</v>
      </c>
      <c r="BU29">
        <f t="shared" si="38"/>
        <v>6.942995542774308</v>
      </c>
      <c r="BV29">
        <f t="shared" si="39"/>
        <v>1.6715234011000908</v>
      </c>
      <c r="BW29">
        <f t="shared" si="40"/>
        <v>0.30081198404368931</v>
      </c>
      <c r="BX29" s="4">
        <f t="shared" si="41"/>
        <v>3.9446707702875603</v>
      </c>
      <c r="BY29">
        <f t="shared" si="42"/>
        <v>0.1397490355600636</v>
      </c>
      <c r="BZ29">
        <f t="shared" si="43"/>
        <v>23.590894476467675</v>
      </c>
      <c r="CA29">
        <f t="shared" si="44"/>
        <v>21.919371075367582</v>
      </c>
    </row>
    <row r="30" spans="1:79" x14ac:dyDescent="0.25">
      <c r="A30">
        <v>5</v>
      </c>
      <c r="B30">
        <v>1.54143585092054E-3</v>
      </c>
      <c r="C30">
        <v>1.54143585092054E-3</v>
      </c>
      <c r="D30">
        <v>3.4254130020456501E-4</v>
      </c>
      <c r="E30">
        <v>0</v>
      </c>
      <c r="F30">
        <v>0</v>
      </c>
      <c r="G30">
        <v>0</v>
      </c>
      <c r="H30" s="5">
        <v>1.7558377832426001E-5</v>
      </c>
      <c r="I30" s="5">
        <v>1.05063644964669E-7</v>
      </c>
      <c r="J30">
        <v>3.35605387572801E-4</v>
      </c>
      <c r="K30">
        <v>0.12557893497872399</v>
      </c>
      <c r="L30">
        <v>0.12701721899235199</v>
      </c>
      <c r="M30">
        <v>5.7157122982957897E-4</v>
      </c>
      <c r="N30" t="s">
        <v>52</v>
      </c>
      <c r="O30">
        <v>0.1</v>
      </c>
      <c r="P30">
        <v>12</v>
      </c>
      <c r="Q30">
        <v>1.64912412966352E-3</v>
      </c>
      <c r="R30">
        <v>1.66801192221077E-3</v>
      </c>
      <c r="S30">
        <v>7.5059714998626504E-6</v>
      </c>
      <c r="T30">
        <v>0</v>
      </c>
      <c r="U30">
        <v>0</v>
      </c>
      <c r="V30">
        <v>0</v>
      </c>
      <c r="W30">
        <v>1.6121404312672901E-3</v>
      </c>
      <c r="X30">
        <v>7.73929552459276E-5</v>
      </c>
      <c r="Y30">
        <v>7.4565411365620697E-6</v>
      </c>
      <c r="Z30">
        <v>1.73272364681595E-3</v>
      </c>
      <c r="AA30">
        <v>7.4522106149284603E-2</v>
      </c>
      <c r="AB30">
        <v>2.3158624767325598E-6</v>
      </c>
      <c r="AC30">
        <v>0.1</v>
      </c>
      <c r="AD30">
        <v>100</v>
      </c>
      <c r="AE30">
        <v>12.134817621653401</v>
      </c>
      <c r="AF30">
        <v>92.405262022285001</v>
      </c>
      <c r="AG30">
        <v>19.723216376352102</v>
      </c>
      <c r="AH30">
        <f t="shared" si="0"/>
        <v>1.2134817621653402</v>
      </c>
      <c r="AI30">
        <f t="shared" si="29"/>
        <v>1.9723216376352104</v>
      </c>
      <c r="AJ30">
        <f t="shared" si="30"/>
        <v>1.2134817621653402</v>
      </c>
      <c r="AK30">
        <f t="shared" si="45"/>
        <v>1.9723216376352104</v>
      </c>
      <c r="AL30">
        <f t="shared" si="1"/>
        <v>0.61512242586354759</v>
      </c>
      <c r="AM30">
        <f t="shared" si="31"/>
        <v>0.59835933630179261</v>
      </c>
      <c r="AN30">
        <f t="shared" si="32"/>
        <v>0.61512242586354759</v>
      </c>
      <c r="AO30" s="5">
        <f t="shared" si="2"/>
        <v>1.7558377832426002E-3</v>
      </c>
      <c r="AP30" s="5">
        <f t="shared" si="3"/>
        <v>1.05063644964669E-5</v>
      </c>
      <c r="AQ30" s="5">
        <f t="shared" si="4"/>
        <v>3.3560538757280101E-2</v>
      </c>
      <c r="AR30">
        <f t="shared" si="33"/>
        <v>10</v>
      </c>
      <c r="AS30" s="5">
        <f t="shared" si="5"/>
        <v>0.154143585092054</v>
      </c>
      <c r="AT30" s="8">
        <f t="shared" si="6"/>
        <v>0.154143585092054</v>
      </c>
      <c r="AU30" s="5">
        <f t="shared" si="7"/>
        <v>3.4254130020456498E-2</v>
      </c>
      <c r="AV30" s="5">
        <f t="shared" si="8"/>
        <v>0.15238774730881141</v>
      </c>
      <c r="AW30" s="8">
        <f t="shared" si="9"/>
        <v>0.15413307872755755</v>
      </c>
      <c r="AX30" s="5">
        <f t="shared" si="10"/>
        <v>6.9359126317639769E-4</v>
      </c>
      <c r="AY30" s="5">
        <f t="shared" si="11"/>
        <v>0.14897025896797347</v>
      </c>
      <c r="AZ30">
        <f t="shared" si="12"/>
        <v>7.1515163081789165E-3</v>
      </c>
      <c r="BA30">
        <f t="shared" si="13"/>
        <v>6.8902363750396485E-4</v>
      </c>
      <c r="BB30" s="5">
        <f t="shared" si="14"/>
        <v>94.999999999999957</v>
      </c>
      <c r="BC30" s="5">
        <f t="shared" si="15"/>
        <v>0.15681079891365637</v>
      </c>
      <c r="BD30" s="5">
        <f t="shared" si="16"/>
        <v>0.30612556970038179</v>
      </c>
      <c r="BE30" s="16">
        <f t="shared" si="17"/>
        <v>0.3143106214648167</v>
      </c>
      <c r="BF30">
        <f t="shared" si="18"/>
        <v>3.4174883406572886E-3</v>
      </c>
      <c r="BG30">
        <f t="shared" si="19"/>
        <v>0.14698156244038199</v>
      </c>
      <c r="BH30">
        <f t="shared" si="20"/>
        <v>4.5676256726470968E-6</v>
      </c>
      <c r="BI30">
        <f t="shared" si="21"/>
        <v>0.3008118044390965</v>
      </c>
      <c r="BJ30">
        <f t="shared" si="22"/>
        <v>1.6715098331961138</v>
      </c>
      <c r="BK30">
        <f t="shared" si="23"/>
        <v>0.3008118044390965</v>
      </c>
      <c r="BL30">
        <f t="shared" si="34"/>
        <v>0.89917114074088911</v>
      </c>
      <c r="BM30">
        <f t="shared" si="35"/>
        <v>0.15382339056020555</v>
      </c>
      <c r="BN30">
        <f t="shared" si="36"/>
        <v>0.3008118044390965</v>
      </c>
      <c r="BO30" s="5">
        <f t="shared" si="24"/>
        <v>0.89917114074088911</v>
      </c>
      <c r="BP30" s="5">
        <f t="shared" si="25"/>
        <v>0.3143106214648167</v>
      </c>
      <c r="BQ30" s="4">
        <f t="shared" si="37"/>
        <v>2.4269635243306804</v>
      </c>
      <c r="BR30" s="5">
        <f t="shared" si="26"/>
        <v>0.13913610478813551</v>
      </c>
      <c r="BS30">
        <f t="shared" si="27"/>
        <v>7.8421613284053677</v>
      </c>
      <c r="BT30">
        <f t="shared" si="28"/>
        <v>7.5413495239662716</v>
      </c>
      <c r="BU30">
        <f t="shared" si="38"/>
        <v>6.9429901876644786</v>
      </c>
      <c r="BV30">
        <f t="shared" si="39"/>
        <v>1.6715098331961138</v>
      </c>
      <c r="BW30">
        <f t="shared" si="40"/>
        <v>0.3008118044390965</v>
      </c>
      <c r="BX30" s="4">
        <f t="shared" si="41"/>
        <v>3.9446432752704208</v>
      </c>
      <c r="BY30">
        <f t="shared" si="42"/>
        <v>0.13974888901472399</v>
      </c>
      <c r="BZ30">
        <f t="shared" si="43"/>
        <v>23.590563293747326</v>
      </c>
      <c r="CA30">
        <f t="shared" si="44"/>
        <v>21.919053460551211</v>
      </c>
    </row>
    <row r="31" spans="1:79" x14ac:dyDescent="0.25">
      <c r="A31">
        <v>5</v>
      </c>
      <c r="B31">
        <v>1.54143585092054E-3</v>
      </c>
      <c r="C31">
        <v>1.54143585092054E-3</v>
      </c>
      <c r="D31">
        <v>3.4254130020456501E-4</v>
      </c>
      <c r="E31">
        <v>0</v>
      </c>
      <c r="F31">
        <v>0</v>
      </c>
      <c r="G31">
        <v>0</v>
      </c>
      <c r="H31" s="5">
        <v>1.7558377832426001E-5</v>
      </c>
      <c r="I31" s="5">
        <v>1.05063644964669E-7</v>
      </c>
      <c r="J31">
        <v>3.35605387572801E-4</v>
      </c>
      <c r="K31">
        <v>0.12557893497872399</v>
      </c>
      <c r="L31">
        <v>0.12701721899235199</v>
      </c>
      <c r="M31">
        <v>5.7157122982957897E-4</v>
      </c>
      <c r="N31" t="s">
        <v>52</v>
      </c>
      <c r="O31">
        <v>0.1</v>
      </c>
      <c r="P31">
        <v>13</v>
      </c>
      <c r="Q31">
        <v>1.64912412966352E-3</v>
      </c>
      <c r="R31">
        <v>1.66801192221077E-3</v>
      </c>
      <c r="S31">
        <v>7.5059714998626504E-6</v>
      </c>
      <c r="T31">
        <v>0</v>
      </c>
      <c r="U31">
        <v>0</v>
      </c>
      <c r="V31">
        <v>0</v>
      </c>
      <c r="W31">
        <v>1.61214069129301E-3</v>
      </c>
      <c r="X31">
        <v>7.7392968598377306E-5</v>
      </c>
      <c r="Y31">
        <v>7.4565414696759002E-6</v>
      </c>
      <c r="Z31">
        <v>1.73271486747767E-3</v>
      </c>
      <c r="AA31">
        <v>7.4522251874090506E-2</v>
      </c>
      <c r="AB31">
        <v>2.3158514183141602E-6</v>
      </c>
      <c r="AC31">
        <v>0.1</v>
      </c>
      <c r="AD31">
        <v>100</v>
      </c>
      <c r="AE31">
        <v>12.134817621653401</v>
      </c>
      <c r="AF31">
        <v>92.405262022285001</v>
      </c>
      <c r="AG31">
        <v>19.723177640219998</v>
      </c>
      <c r="AH31">
        <f t="shared" si="0"/>
        <v>1.2134817621653402</v>
      </c>
      <c r="AI31">
        <f t="shared" si="29"/>
        <v>1.9723177640219998</v>
      </c>
      <c r="AJ31">
        <f t="shared" si="30"/>
        <v>1.2134817621653402</v>
      </c>
      <c r="AK31">
        <f t="shared" si="45"/>
        <v>1.9723177640219998</v>
      </c>
      <c r="AL31">
        <f t="shared" si="1"/>
        <v>0.61512242586354759</v>
      </c>
      <c r="AM31">
        <f t="shared" si="31"/>
        <v>0.59835933630179261</v>
      </c>
      <c r="AN31">
        <f t="shared" si="32"/>
        <v>0.61512242586354759</v>
      </c>
      <c r="AO31" s="5">
        <f t="shared" si="2"/>
        <v>1.7558377832426002E-3</v>
      </c>
      <c r="AP31" s="5">
        <f t="shared" si="3"/>
        <v>1.05063644964669E-5</v>
      </c>
      <c r="AQ31" s="5">
        <f t="shared" si="4"/>
        <v>3.3560538757280101E-2</v>
      </c>
      <c r="AR31">
        <f t="shared" si="33"/>
        <v>10</v>
      </c>
      <c r="AS31" s="5">
        <f t="shared" si="5"/>
        <v>0.154143585092054</v>
      </c>
      <c r="AT31" s="8">
        <f t="shared" si="6"/>
        <v>0.154143585092054</v>
      </c>
      <c r="AU31" s="5">
        <f t="shared" si="7"/>
        <v>3.4254130020456498E-2</v>
      </c>
      <c r="AV31" s="5">
        <f t="shared" si="8"/>
        <v>0.15238774730881141</v>
      </c>
      <c r="AW31" s="8">
        <f t="shared" si="9"/>
        <v>0.15413307872755755</v>
      </c>
      <c r="AX31" s="5">
        <f t="shared" si="10"/>
        <v>6.9359126317639769E-4</v>
      </c>
      <c r="AY31" s="5">
        <f t="shared" si="11"/>
        <v>0.14897028299571827</v>
      </c>
      <c r="AZ31">
        <f t="shared" si="12"/>
        <v>7.1515175420155301E-3</v>
      </c>
      <c r="BA31">
        <f t="shared" si="13"/>
        <v>6.8902366828543565E-4</v>
      </c>
      <c r="BB31" s="5">
        <f t="shared" si="14"/>
        <v>95</v>
      </c>
      <c r="BC31" s="5">
        <f t="shared" si="15"/>
        <v>0.15681082420601924</v>
      </c>
      <c r="BD31" s="5">
        <f t="shared" si="16"/>
        <v>0.3061256190358802</v>
      </c>
      <c r="BE31" s="16">
        <f t="shared" si="17"/>
        <v>0.31431067208032393</v>
      </c>
      <c r="BF31">
        <f t="shared" si="18"/>
        <v>3.4174643131112338E-3</v>
      </c>
      <c r="BG31">
        <f t="shared" si="19"/>
        <v>0.14698156118619046</v>
      </c>
      <c r="BH31">
        <f t="shared" si="20"/>
        <v>4.5675948911765609E-6</v>
      </c>
      <c r="BI31">
        <f t="shared" si="21"/>
        <v>0.30081175378327696</v>
      </c>
      <c r="BJ31">
        <f t="shared" si="22"/>
        <v>1.6715060102387227</v>
      </c>
      <c r="BK31">
        <f t="shared" si="23"/>
        <v>0.30081175378327696</v>
      </c>
      <c r="BL31">
        <f t="shared" si="34"/>
        <v>0.89917109008506957</v>
      </c>
      <c r="BM31">
        <f t="shared" si="35"/>
        <v>0.15382334120474972</v>
      </c>
      <c r="BN31">
        <f t="shared" si="36"/>
        <v>0.30081175378327696</v>
      </c>
      <c r="BO31" s="5">
        <f t="shared" si="24"/>
        <v>0.89917109008506957</v>
      </c>
      <c r="BP31" s="5">
        <f t="shared" si="25"/>
        <v>0.31431067208032393</v>
      </c>
      <c r="BQ31" s="4">
        <f t="shared" si="37"/>
        <v>2.4269635243306804</v>
      </c>
      <c r="BR31" s="5">
        <f t="shared" si="26"/>
        <v>0.13913612462509689</v>
      </c>
      <c r="BS31">
        <f t="shared" si="27"/>
        <v>7.8421597685332278</v>
      </c>
      <c r="BT31">
        <f t="shared" si="28"/>
        <v>7.5413480147499508</v>
      </c>
      <c r="BU31">
        <f t="shared" si="38"/>
        <v>6.9429886784481578</v>
      </c>
      <c r="BV31">
        <f t="shared" si="39"/>
        <v>1.6715060102387227</v>
      </c>
      <c r="BW31">
        <f t="shared" si="40"/>
        <v>0.30081175378327696</v>
      </c>
      <c r="BX31" s="4">
        <f t="shared" si="41"/>
        <v>3.9446355280439995</v>
      </c>
      <c r="BY31">
        <f t="shared" si="42"/>
        <v>0.13974884770162765</v>
      </c>
      <c r="BZ31">
        <f t="shared" si="43"/>
        <v>23.590469981563746</v>
      </c>
      <c r="CA31">
        <f t="shared" si="44"/>
        <v>21.918963971325024</v>
      </c>
    </row>
    <row r="32" spans="1:79" x14ac:dyDescent="0.25">
      <c r="A32">
        <v>6</v>
      </c>
      <c r="B32">
        <v>1.54143585092054E-3</v>
      </c>
      <c r="C32">
        <v>1.54143585092054E-3</v>
      </c>
      <c r="D32">
        <v>3.4254130020456501E-4</v>
      </c>
      <c r="E32">
        <v>0</v>
      </c>
      <c r="F32">
        <v>0</v>
      </c>
      <c r="G32">
        <v>0</v>
      </c>
      <c r="H32" s="5">
        <v>1.7693893431643E-5</v>
      </c>
      <c r="I32" s="5">
        <v>3.7175600603836103E-8</v>
      </c>
      <c r="J32">
        <v>3.36890310328726E-4</v>
      </c>
      <c r="K32">
        <v>0.133710118829723</v>
      </c>
      <c r="L32">
        <v>0.13525951632913</v>
      </c>
      <c r="M32">
        <v>4.9588089642288804E-4</v>
      </c>
      <c r="N32" t="s">
        <v>52</v>
      </c>
      <c r="O32">
        <v>0.1</v>
      </c>
      <c r="P32">
        <v>4</v>
      </c>
      <c r="Q32">
        <v>1.64951815726537E-3</v>
      </c>
      <c r="R32">
        <v>1.6686323374819601E-3</v>
      </c>
      <c r="S32">
        <v>6.1174468293775103E-6</v>
      </c>
      <c r="T32">
        <v>0</v>
      </c>
      <c r="U32">
        <v>0</v>
      </c>
      <c r="V32">
        <v>0</v>
      </c>
      <c r="W32">
        <v>1.60449551819817E-3</v>
      </c>
      <c r="X32">
        <v>7.8378352599036395E-5</v>
      </c>
      <c r="Y32">
        <v>6.0687799409797502E-6</v>
      </c>
      <c r="Z32">
        <v>1.98992535233798E-3</v>
      </c>
      <c r="AA32">
        <v>7.0286566630574296E-2</v>
      </c>
      <c r="AB32">
        <v>2.1509950778718299E-6</v>
      </c>
      <c r="AC32">
        <v>0.1</v>
      </c>
      <c r="AD32">
        <v>100</v>
      </c>
      <c r="AE32">
        <v>11.395861217105201</v>
      </c>
      <c r="AF32">
        <v>92.374973309314697</v>
      </c>
      <c r="AG32">
        <v>20.900106017960297</v>
      </c>
      <c r="AH32">
        <f t="shared" si="0"/>
        <v>1.1395861217105201</v>
      </c>
      <c r="AI32">
        <f t="shared" si="29"/>
        <v>2.0900106017960298</v>
      </c>
      <c r="AJ32">
        <f t="shared" si="30"/>
        <v>1.1395861217105201</v>
      </c>
      <c r="AK32">
        <f t="shared" si="45"/>
        <v>2.0900106017960298</v>
      </c>
      <c r="AL32">
        <f t="shared" si="1"/>
        <v>0.6147234237398963</v>
      </c>
      <c r="AM32">
        <f t="shared" si="31"/>
        <v>0.52486269797062379</v>
      </c>
      <c r="AN32">
        <f t="shared" si="32"/>
        <v>0.6147234237398963</v>
      </c>
      <c r="AO32" s="5">
        <f t="shared" si="2"/>
        <v>1.7693893431643E-3</v>
      </c>
      <c r="AP32" s="5">
        <f t="shared" si="3"/>
        <v>3.7175600603836104E-6</v>
      </c>
      <c r="AQ32" s="5">
        <f t="shared" si="4"/>
        <v>3.3689031032872602E-2</v>
      </c>
      <c r="AR32">
        <f t="shared" si="33"/>
        <v>10</v>
      </c>
      <c r="AS32" s="5">
        <f t="shared" si="5"/>
        <v>0.154143585092054</v>
      </c>
      <c r="AT32" s="8">
        <f t="shared" si="6"/>
        <v>0.154143585092054</v>
      </c>
      <c r="AU32" s="5">
        <f t="shared" si="7"/>
        <v>3.4254130020456498E-2</v>
      </c>
      <c r="AV32" s="5">
        <f t="shared" si="8"/>
        <v>0.15237419574888969</v>
      </c>
      <c r="AW32" s="8">
        <f t="shared" si="9"/>
        <v>0.15413986753199363</v>
      </c>
      <c r="AX32" s="5">
        <f t="shared" si="10"/>
        <v>5.6509898758389659E-4</v>
      </c>
      <c r="AY32" s="5">
        <f t="shared" si="11"/>
        <v>0.148215230668471</v>
      </c>
      <c r="AZ32">
        <f t="shared" si="12"/>
        <v>7.2401982293640432E-3</v>
      </c>
      <c r="BA32">
        <f t="shared" si="13"/>
        <v>5.6060338506810881E-4</v>
      </c>
      <c r="BB32" s="5">
        <f t="shared" si="14"/>
        <v>94.999999999816055</v>
      </c>
      <c r="BC32" s="5">
        <f t="shared" si="15"/>
        <v>0.15601603228290314</v>
      </c>
      <c r="BD32" s="5">
        <f t="shared" si="16"/>
        <v>0.30451156464390822</v>
      </c>
      <c r="BE32" s="16">
        <f t="shared" si="17"/>
        <v>0.31259266795087437</v>
      </c>
      <c r="BF32">
        <f t="shared" si="18"/>
        <v>4.1589650831690781E-3</v>
      </c>
      <c r="BG32">
        <f t="shared" si="19"/>
        <v>0.14689966942174335</v>
      </c>
      <c r="BH32">
        <f t="shared" si="20"/>
        <v>4.4956025171632016E-6</v>
      </c>
      <c r="BI32">
        <f t="shared" si="21"/>
        <v>0.30213075581737631</v>
      </c>
      <c r="BJ32">
        <f t="shared" si="22"/>
        <v>1.7878798459786536</v>
      </c>
      <c r="BK32">
        <f t="shared" si="23"/>
        <v>0.30213075581737631</v>
      </c>
      <c r="BL32">
        <f t="shared" si="34"/>
        <v>0.82699345378800015</v>
      </c>
      <c r="BM32">
        <f t="shared" si="35"/>
        <v>0.15522434299185725</v>
      </c>
      <c r="BN32">
        <f t="shared" si="36"/>
        <v>0.30213075581737631</v>
      </c>
      <c r="BO32" s="5">
        <f t="shared" si="24"/>
        <v>0.82699345378800015</v>
      </c>
      <c r="BP32" s="5">
        <f t="shared" si="25"/>
        <v>0.31259266795087437</v>
      </c>
      <c r="BQ32" s="4">
        <f t="shared" si="37"/>
        <v>2.2791722434210402</v>
      </c>
      <c r="BR32" s="5">
        <f t="shared" si="26"/>
        <v>0.13744543904513234</v>
      </c>
      <c r="BS32">
        <f t="shared" si="27"/>
        <v>6.8567590836738761</v>
      </c>
      <c r="BT32">
        <f t="shared" si="28"/>
        <v>6.5546283278564994</v>
      </c>
      <c r="BU32">
        <f t="shared" si="38"/>
        <v>6.0297656298858753</v>
      </c>
      <c r="BV32">
        <f t="shared" si="39"/>
        <v>1.7878798459786536</v>
      </c>
      <c r="BW32">
        <f t="shared" si="40"/>
        <v>0.30213075581737631</v>
      </c>
      <c r="BX32" s="4">
        <f t="shared" si="41"/>
        <v>4.1800212035920596</v>
      </c>
      <c r="BY32">
        <f t="shared" si="42"/>
        <v>0.14088243515736668</v>
      </c>
      <c r="BZ32">
        <f t="shared" si="43"/>
        <v>26.523447217951137</v>
      </c>
      <c r="CA32">
        <f t="shared" si="44"/>
        <v>24.735567371972483</v>
      </c>
    </row>
    <row r="33" spans="1:79" x14ac:dyDescent="0.25">
      <c r="A33">
        <v>6</v>
      </c>
      <c r="B33">
        <v>1.54143585092054E-3</v>
      </c>
      <c r="C33">
        <v>1.54143585092054E-3</v>
      </c>
      <c r="D33">
        <v>3.4254130020456501E-4</v>
      </c>
      <c r="E33">
        <v>0</v>
      </c>
      <c r="F33">
        <v>0</v>
      </c>
      <c r="G33">
        <v>0</v>
      </c>
      <c r="H33" s="5">
        <v>1.7693893431643E-5</v>
      </c>
      <c r="I33" s="5">
        <v>3.7175600603836103E-8</v>
      </c>
      <c r="J33">
        <v>3.36890310328726E-4</v>
      </c>
      <c r="K33">
        <v>0.133710118829723</v>
      </c>
      <c r="L33">
        <v>0.13525951632913</v>
      </c>
      <c r="M33">
        <v>4.9588089642288804E-4</v>
      </c>
      <c r="N33" t="s">
        <v>52</v>
      </c>
      <c r="O33">
        <v>0.1</v>
      </c>
      <c r="P33">
        <v>5</v>
      </c>
      <c r="Q33">
        <v>1.64951815726537E-3</v>
      </c>
      <c r="R33">
        <v>1.6686323374819601E-3</v>
      </c>
      <c r="S33">
        <v>6.1174468293775103E-6</v>
      </c>
      <c r="T33">
        <v>0</v>
      </c>
      <c r="U33">
        <v>0</v>
      </c>
      <c r="V33">
        <v>0</v>
      </c>
      <c r="W33">
        <v>1.6101609638428101E-3</v>
      </c>
      <c r="X33">
        <v>7.8670620175806696E-5</v>
      </c>
      <c r="Y33">
        <v>6.0746937584639903E-6</v>
      </c>
      <c r="Z33">
        <v>1.81262020813318E-3</v>
      </c>
      <c r="AA33">
        <v>7.3226683315541802E-2</v>
      </c>
      <c r="AB33">
        <v>1.96901947416695E-6</v>
      </c>
      <c r="AC33">
        <v>0.1</v>
      </c>
      <c r="AD33">
        <v>100</v>
      </c>
      <c r="AE33">
        <v>11.395861217105201</v>
      </c>
      <c r="AF33">
        <v>92.374973309314697</v>
      </c>
      <c r="AG33">
        <v>20.0572611715987</v>
      </c>
      <c r="AH33">
        <f t="shared" si="0"/>
        <v>1.1395861217105201</v>
      </c>
      <c r="AI33">
        <f t="shared" si="29"/>
        <v>2.0057261171598699</v>
      </c>
      <c r="AJ33">
        <f t="shared" si="30"/>
        <v>1.1395861217105201</v>
      </c>
      <c r="AK33">
        <f t="shared" si="45"/>
        <v>2.0057261171598699</v>
      </c>
      <c r="AL33">
        <f t="shared" si="1"/>
        <v>0.6147234237398963</v>
      </c>
      <c r="AM33">
        <f t="shared" si="31"/>
        <v>0.52486269797062379</v>
      </c>
      <c r="AN33">
        <f t="shared" si="32"/>
        <v>0.6147234237398963</v>
      </c>
      <c r="AO33" s="5">
        <f t="shared" si="2"/>
        <v>1.7693893431643E-3</v>
      </c>
      <c r="AP33" s="5">
        <f t="shared" si="3"/>
        <v>3.7175600603836104E-6</v>
      </c>
      <c r="AQ33" s="5">
        <f t="shared" si="4"/>
        <v>3.3689031032872602E-2</v>
      </c>
      <c r="AR33">
        <f t="shared" si="33"/>
        <v>10</v>
      </c>
      <c r="AS33" s="5">
        <f t="shared" si="5"/>
        <v>0.154143585092054</v>
      </c>
      <c r="AT33" s="8">
        <f t="shared" si="6"/>
        <v>0.154143585092054</v>
      </c>
      <c r="AU33" s="5">
        <f t="shared" si="7"/>
        <v>3.4254130020456498E-2</v>
      </c>
      <c r="AV33" s="5">
        <f t="shared" si="8"/>
        <v>0.15237419574888969</v>
      </c>
      <c r="AW33" s="8">
        <f t="shared" si="9"/>
        <v>0.15413986753199363</v>
      </c>
      <c r="AX33" s="5">
        <f t="shared" si="10"/>
        <v>5.6509898758389659E-4</v>
      </c>
      <c r="AY33" s="5">
        <f t="shared" si="11"/>
        <v>0.14873857605868002</v>
      </c>
      <c r="AZ33">
        <f t="shared" si="12"/>
        <v>7.2671964389673781E-3</v>
      </c>
      <c r="BA33">
        <f t="shared" si="13"/>
        <v>5.6114967380037166E-4</v>
      </c>
      <c r="BB33" s="5">
        <f t="shared" si="14"/>
        <v>94.999999997320415</v>
      </c>
      <c r="BC33" s="5">
        <f t="shared" si="15"/>
        <v>0.15656692217144774</v>
      </c>
      <c r="BD33" s="5">
        <f t="shared" si="16"/>
        <v>0.30558607306702801</v>
      </c>
      <c r="BE33" s="16">
        <f t="shared" si="17"/>
        <v>0.31369499401669587</v>
      </c>
      <c r="BF33">
        <f t="shared" si="18"/>
        <v>3.6356196919444784E-3</v>
      </c>
      <c r="BG33">
        <f t="shared" si="19"/>
        <v>0.14687267119897709</v>
      </c>
      <c r="BH33">
        <f t="shared" si="20"/>
        <v>3.9493137845330451E-6</v>
      </c>
      <c r="BI33">
        <f t="shared" si="21"/>
        <v>0.30102842972319677</v>
      </c>
      <c r="BJ33">
        <f t="shared" si="22"/>
        <v>1.7046976874366733</v>
      </c>
      <c r="BK33">
        <f t="shared" si="23"/>
        <v>0.30102842972319677</v>
      </c>
      <c r="BL33">
        <f t="shared" si="34"/>
        <v>0.82589112769382056</v>
      </c>
      <c r="BM33">
        <f t="shared" si="35"/>
        <v>0.15414983455354286</v>
      </c>
      <c r="BN33">
        <f t="shared" si="36"/>
        <v>0.30102842972319677</v>
      </c>
      <c r="BO33" s="5">
        <f t="shared" si="24"/>
        <v>0.82589112769382056</v>
      </c>
      <c r="BP33" s="5">
        <f t="shared" si="25"/>
        <v>0.31369499401669587</v>
      </c>
      <c r="BQ33" s="4">
        <f t="shared" si="37"/>
        <v>2.2791722434210402</v>
      </c>
      <c r="BR33" s="5">
        <f t="shared" si="26"/>
        <v>0.1378714870047702</v>
      </c>
      <c r="BS33">
        <f t="shared" si="27"/>
        <v>6.826459100503973</v>
      </c>
      <c r="BT33">
        <f t="shared" si="28"/>
        <v>6.5254306707807759</v>
      </c>
      <c r="BU33">
        <f t="shared" si="38"/>
        <v>6.0005679728101518</v>
      </c>
      <c r="BV33">
        <f t="shared" si="39"/>
        <v>1.7046976874366733</v>
      </c>
      <c r="BW33">
        <f t="shared" si="40"/>
        <v>0.30102842972319677</v>
      </c>
      <c r="BX33" s="4">
        <f t="shared" si="41"/>
        <v>4.0114522343197399</v>
      </c>
      <c r="BY33">
        <f t="shared" si="42"/>
        <v>0.14000771957952335</v>
      </c>
      <c r="BZ33">
        <f t="shared" si="43"/>
        <v>24.421201086785164</v>
      </c>
      <c r="CA33">
        <f t="shared" si="44"/>
        <v>22.71650339934849</v>
      </c>
    </row>
    <row r="34" spans="1:79" x14ac:dyDescent="0.25">
      <c r="A34">
        <v>6</v>
      </c>
      <c r="B34">
        <v>1.54143585092054E-3</v>
      </c>
      <c r="C34">
        <v>1.54143585092054E-3</v>
      </c>
      <c r="D34">
        <v>3.4254130020456501E-4</v>
      </c>
      <c r="E34">
        <v>0</v>
      </c>
      <c r="F34">
        <v>0</v>
      </c>
      <c r="G34">
        <v>0</v>
      </c>
      <c r="H34" s="5">
        <v>1.7693893431643E-5</v>
      </c>
      <c r="I34" s="5">
        <v>3.7175600603836103E-8</v>
      </c>
      <c r="J34">
        <v>3.36890310328726E-4</v>
      </c>
      <c r="K34">
        <v>0.133710118829723</v>
      </c>
      <c r="L34">
        <v>0.13525951632913</v>
      </c>
      <c r="M34">
        <v>4.9588089642288804E-4</v>
      </c>
      <c r="N34" t="s">
        <v>52</v>
      </c>
      <c r="O34">
        <v>0.1</v>
      </c>
      <c r="P34">
        <v>6</v>
      </c>
      <c r="Q34">
        <v>1.64951815726537E-3</v>
      </c>
      <c r="R34">
        <v>1.6686323374819601E-3</v>
      </c>
      <c r="S34">
        <v>6.1174468293775103E-6</v>
      </c>
      <c r="T34">
        <v>0</v>
      </c>
      <c r="U34">
        <v>0</v>
      </c>
      <c r="V34">
        <v>0</v>
      </c>
      <c r="W34">
        <v>1.6118646916441E-3</v>
      </c>
      <c r="X34">
        <v>7.8758511932156396E-5</v>
      </c>
      <c r="Y34">
        <v>6.0764721178985501E-6</v>
      </c>
      <c r="Z34">
        <v>1.75634842896041E-3</v>
      </c>
      <c r="AA34">
        <v>7.4159771210348502E-2</v>
      </c>
      <c r="AB34">
        <v>1.91126816471642E-6</v>
      </c>
      <c r="AC34">
        <v>0.1</v>
      </c>
      <c r="AD34">
        <v>100</v>
      </c>
      <c r="AE34">
        <v>11.395861217105201</v>
      </c>
      <c r="AF34">
        <v>92.374973309314697</v>
      </c>
      <c r="AG34">
        <v>19.8038033024398</v>
      </c>
      <c r="AH34">
        <f t="shared" ref="AH34:AH65" si="46">AE34*O34</f>
        <v>1.1395861217105201</v>
      </c>
      <c r="AI34">
        <f t="shared" si="29"/>
        <v>1.98038033024398</v>
      </c>
      <c r="AJ34">
        <f t="shared" si="30"/>
        <v>1.1395861217105201</v>
      </c>
      <c r="AK34">
        <f t="shared" si="45"/>
        <v>1.98038033024398</v>
      </c>
      <c r="AL34">
        <f t="shared" ref="AL34:AL65" si="47">AE34*O34*(K34*2+L34*2+M34*3)</f>
        <v>0.6147234237398963</v>
      </c>
      <c r="AM34">
        <f t="shared" si="31"/>
        <v>0.52486269797062379</v>
      </c>
      <c r="AN34">
        <f t="shared" si="32"/>
        <v>0.6147234237398963</v>
      </c>
      <c r="AO34" s="5">
        <f t="shared" ref="AO34:AO65" si="48">H34*AD34</f>
        <v>1.7693893431643E-3</v>
      </c>
      <c r="AP34" s="5">
        <f t="shared" ref="AP34:AP65" si="49">I34*AD34</f>
        <v>3.7175600603836104E-6</v>
      </c>
      <c r="AQ34" s="5">
        <f t="shared" ref="AQ34:AQ65" si="50">J34*AD34</f>
        <v>3.3689031032872602E-2</v>
      </c>
      <c r="AR34">
        <f t="shared" ref="AR34:AR65" si="51">0.1*AD34</f>
        <v>10</v>
      </c>
      <c r="AS34" s="5">
        <f t="shared" ref="AS34:AS65" si="52">AD34*B34</f>
        <v>0.154143585092054</v>
      </c>
      <c r="AT34" s="8">
        <f t="shared" ref="AT34:AT65" si="53">AD34*C34</f>
        <v>0.154143585092054</v>
      </c>
      <c r="AU34" s="5">
        <f t="shared" ref="AU34:AU65" si="54">AD34*D34</f>
        <v>3.4254130020456498E-2</v>
      </c>
      <c r="AV34" s="5">
        <f t="shared" ref="AV34:AV65" si="55">AS34-AO34</f>
        <v>0.15237419574888969</v>
      </c>
      <c r="AW34" s="8">
        <f t="shared" ref="AW34:AW65" si="56">AT34-AP34</f>
        <v>0.15413986753199363</v>
      </c>
      <c r="AX34" s="5">
        <f t="shared" ref="AX34:AX65" si="57">AU34-AQ34</f>
        <v>5.6509898758389659E-4</v>
      </c>
      <c r="AY34" s="5">
        <f t="shared" ref="AY34:AY65" si="58">AF34*W34</f>
        <v>0.14889595786885051</v>
      </c>
      <c r="AZ34">
        <f t="shared" ref="AZ34:AZ65" si="59">AF34*X34</f>
        <v>7.2753154376142904E-3</v>
      </c>
      <c r="BA34">
        <f t="shared" ref="BA34:BA65" si="60">AF34*Y34</f>
        <v>5.613139497056735E-4</v>
      </c>
      <c r="BB34" s="5">
        <f t="shared" ref="BB34:BB65" si="61">AY34/SUM(AY34:BA34)*100</f>
        <v>94.999999984360983</v>
      </c>
      <c r="BC34" s="5">
        <f t="shared" ref="BC34:BC65" si="62">SUM(AY34:BA34)</f>
        <v>0.15673258725617048</v>
      </c>
      <c r="BD34" s="5">
        <f t="shared" ref="BD34:BD65" si="63">AY34*2+AZ34*1+BA34*3/2</f>
        <v>0.30590920209987382</v>
      </c>
      <c r="BE34" s="16">
        <f t="shared" ref="BE34:BE65" si="64">AY34*2+AZ34*2+BA34*3</f>
        <v>0.31402648846204662</v>
      </c>
      <c r="BF34">
        <f t="shared" ref="BF34:BF65" si="65">AG34*AC34*Z34</f>
        <v>3.478237881768112E-3</v>
      </c>
      <c r="BG34">
        <f t="shared" ref="BG34:BG65" si="66">AG34*AC34*AA34</f>
        <v>0.14686455220036795</v>
      </c>
      <c r="BH34">
        <f t="shared" ref="BH34:BH65" si="67">AG34*AC34*AB34</f>
        <v>3.7850378792259092E-6</v>
      </c>
      <c r="BI34">
        <f t="shared" ref="BI34:BI65" si="68">BF34*2+BG34*2+BH34*3</f>
        <v>0.30069693527790986</v>
      </c>
      <c r="BJ34">
        <f t="shared" ref="BJ34:BJ65" si="69">AK34-BI34</f>
        <v>1.6796833949660701</v>
      </c>
      <c r="BK34">
        <f t="shared" ref="BK34:BK65" si="70">BI34</f>
        <v>0.30069693527790986</v>
      </c>
      <c r="BL34">
        <f t="shared" si="34"/>
        <v>0.82555963324853365</v>
      </c>
      <c r="BM34">
        <f t="shared" si="35"/>
        <v>0.15382670552072303</v>
      </c>
      <c r="BN34">
        <f t="shared" si="36"/>
        <v>0.30069693527790986</v>
      </c>
      <c r="BO34" s="5">
        <f t="shared" ref="BO34:BO65" si="71">BL34</f>
        <v>0.82555963324853365</v>
      </c>
      <c r="BP34" s="5">
        <f t="shared" ref="BP34:BP65" si="72">BE34</f>
        <v>0.31402648846204662</v>
      </c>
      <c r="BQ34" s="4">
        <f t="shared" si="37"/>
        <v>2.2791722434210402</v>
      </c>
      <c r="BR34" s="5">
        <f t="shared" ref="BR34:BR65" si="73">AJ34/(BQ34+BE34)*BP34</f>
        <v>0.13799953844685556</v>
      </c>
      <c r="BS34">
        <f t="shared" ref="BS34:BS65" si="74">BO34/BR34*AJ34</f>
        <v>6.8173872991376854</v>
      </c>
      <c r="BT34">
        <f t="shared" ref="BT34:BT65" si="75">BS34-BK34</f>
        <v>6.5166903638597757</v>
      </c>
      <c r="BU34">
        <f t="shared" si="38"/>
        <v>5.9918276658891516</v>
      </c>
      <c r="BV34">
        <f t="shared" si="39"/>
        <v>1.6796833949660701</v>
      </c>
      <c r="BW34">
        <f t="shared" si="40"/>
        <v>0.30069693527790986</v>
      </c>
      <c r="BX34" s="4">
        <f t="shared" si="41"/>
        <v>3.9607606604879599</v>
      </c>
      <c r="BY34">
        <f t="shared" si="42"/>
        <v>0.13973958032122516</v>
      </c>
      <c r="BZ34">
        <f t="shared" si="43"/>
        <v>23.804364867718043</v>
      </c>
      <c r="CA34">
        <f t="shared" si="44"/>
        <v>22.124681472751973</v>
      </c>
    </row>
    <row r="35" spans="1:79" x14ac:dyDescent="0.25">
      <c r="A35">
        <v>6</v>
      </c>
      <c r="B35">
        <v>1.54143585092054E-3</v>
      </c>
      <c r="C35">
        <v>1.54143585092054E-3</v>
      </c>
      <c r="D35">
        <v>3.4254130020456501E-4</v>
      </c>
      <c r="E35">
        <v>0</v>
      </c>
      <c r="F35">
        <v>0</v>
      </c>
      <c r="G35">
        <v>0</v>
      </c>
      <c r="H35" s="5">
        <v>1.7693893431643E-5</v>
      </c>
      <c r="I35" s="5">
        <v>3.7175600603836103E-8</v>
      </c>
      <c r="J35">
        <v>3.36890310328726E-4</v>
      </c>
      <c r="K35">
        <v>0.133710118829723</v>
      </c>
      <c r="L35">
        <v>0.13525951632913</v>
      </c>
      <c r="M35">
        <v>4.9588089642288804E-4</v>
      </c>
      <c r="N35" t="s">
        <v>52</v>
      </c>
      <c r="O35">
        <v>0.1</v>
      </c>
      <c r="P35">
        <v>7</v>
      </c>
      <c r="Q35">
        <v>1.64951815726537E-3</v>
      </c>
      <c r="R35">
        <v>1.6686323374819601E-3</v>
      </c>
      <c r="S35">
        <v>6.1174468293775103E-6</v>
      </c>
      <c r="T35">
        <v>0</v>
      </c>
      <c r="U35">
        <v>0</v>
      </c>
      <c r="V35">
        <v>0</v>
      </c>
      <c r="W35">
        <v>1.61236068920583E-3</v>
      </c>
      <c r="X35">
        <v>7.8784098873371198E-5</v>
      </c>
      <c r="Y35">
        <v>6.0769898417647796E-6</v>
      </c>
      <c r="Z35">
        <v>1.7396945907611301E-3</v>
      </c>
      <c r="AA35">
        <v>7.4435921644561601E-2</v>
      </c>
      <c r="AB35">
        <v>1.8941764922222101E-6</v>
      </c>
      <c r="AC35">
        <v>0.1</v>
      </c>
      <c r="AD35">
        <v>100</v>
      </c>
      <c r="AE35">
        <v>11.395861217105201</v>
      </c>
      <c r="AF35">
        <v>92.374973309314697</v>
      </c>
      <c r="AG35">
        <v>19.7300154776898</v>
      </c>
      <c r="AH35">
        <f t="shared" si="46"/>
        <v>1.1395861217105201</v>
      </c>
      <c r="AI35">
        <f t="shared" si="29"/>
        <v>1.9730015477689802</v>
      </c>
      <c r="AJ35">
        <f t="shared" si="30"/>
        <v>1.1395861217105201</v>
      </c>
      <c r="AK35">
        <f t="shared" si="45"/>
        <v>1.9730015477689802</v>
      </c>
      <c r="AL35">
        <f t="shared" si="47"/>
        <v>0.6147234237398963</v>
      </c>
      <c r="AM35">
        <f t="shared" si="31"/>
        <v>0.52486269797062379</v>
      </c>
      <c r="AN35">
        <f t="shared" si="32"/>
        <v>0.6147234237398963</v>
      </c>
      <c r="AO35" s="5">
        <f t="shared" si="48"/>
        <v>1.7693893431643E-3</v>
      </c>
      <c r="AP35" s="5">
        <f t="shared" si="49"/>
        <v>3.7175600603836104E-6</v>
      </c>
      <c r="AQ35" s="5">
        <f t="shared" si="50"/>
        <v>3.3689031032872602E-2</v>
      </c>
      <c r="AR35">
        <f t="shared" si="51"/>
        <v>10</v>
      </c>
      <c r="AS35" s="5">
        <f t="shared" si="52"/>
        <v>0.154143585092054</v>
      </c>
      <c r="AT35" s="8">
        <f t="shared" si="53"/>
        <v>0.154143585092054</v>
      </c>
      <c r="AU35" s="5">
        <f t="shared" si="54"/>
        <v>3.4254130020456498E-2</v>
      </c>
      <c r="AV35" s="5">
        <f t="shared" si="55"/>
        <v>0.15237419574888969</v>
      </c>
      <c r="AW35" s="8">
        <f t="shared" si="56"/>
        <v>0.15413986753199363</v>
      </c>
      <c r="AX35" s="5">
        <f t="shared" si="57"/>
        <v>5.6509898758389659E-4</v>
      </c>
      <c r="AY35" s="5">
        <f t="shared" si="58"/>
        <v>0.1489417756303768</v>
      </c>
      <c r="AZ35">
        <f t="shared" si="59"/>
        <v>7.2776790306260742E-3</v>
      </c>
      <c r="BA35">
        <f t="shared" si="60"/>
        <v>5.6136177443399807E-4</v>
      </c>
      <c r="BB35" s="5">
        <f t="shared" si="61"/>
        <v>95.000000010659321</v>
      </c>
      <c r="BC35" s="5">
        <f t="shared" si="62"/>
        <v>0.15678081643543687</v>
      </c>
      <c r="BD35" s="5">
        <f t="shared" si="63"/>
        <v>0.3060032729530307</v>
      </c>
      <c r="BE35" s="16">
        <f t="shared" si="64"/>
        <v>0.31412299464530774</v>
      </c>
      <c r="BF35">
        <f t="shared" si="65"/>
        <v>3.4324201202170323E-3</v>
      </c>
      <c r="BG35">
        <f t="shared" si="66"/>
        <v>0.14686218861433056</v>
      </c>
      <c r="BH35">
        <f t="shared" si="67"/>
        <v>3.737213150902038E-6</v>
      </c>
      <c r="BI35">
        <f t="shared" si="68"/>
        <v>0.3006004291085479</v>
      </c>
      <c r="BJ35">
        <f t="shared" si="69"/>
        <v>1.6724011186604324</v>
      </c>
      <c r="BK35">
        <f t="shared" si="70"/>
        <v>0.3006004291085479</v>
      </c>
      <c r="BL35">
        <f t="shared" si="34"/>
        <v>0.82546312707917169</v>
      </c>
      <c r="BM35">
        <f t="shared" si="35"/>
        <v>0.153732634674491</v>
      </c>
      <c r="BN35">
        <f t="shared" si="36"/>
        <v>0.3006004291085479</v>
      </c>
      <c r="BO35" s="5">
        <f t="shared" si="71"/>
        <v>0.82546312707917169</v>
      </c>
      <c r="BP35" s="5">
        <f t="shared" si="72"/>
        <v>0.31412299464530774</v>
      </c>
      <c r="BQ35" s="4">
        <f t="shared" si="37"/>
        <v>2.2791722434210402</v>
      </c>
      <c r="BR35" s="5">
        <f t="shared" si="73"/>
        <v>0.13803681121739764</v>
      </c>
      <c r="BS35">
        <f t="shared" si="74"/>
        <v>6.8147497418038796</v>
      </c>
      <c r="BT35">
        <f t="shared" si="75"/>
        <v>6.5141493126953316</v>
      </c>
      <c r="BU35">
        <f t="shared" si="38"/>
        <v>5.9892866147247075</v>
      </c>
      <c r="BV35">
        <f t="shared" si="39"/>
        <v>1.6724011186604324</v>
      </c>
      <c r="BW35">
        <f t="shared" si="40"/>
        <v>0.3006004291085479</v>
      </c>
      <c r="BX35" s="4">
        <f t="shared" si="41"/>
        <v>3.9460030955379604</v>
      </c>
      <c r="BY35">
        <f t="shared" si="42"/>
        <v>0.13966105110802726</v>
      </c>
      <c r="BZ35">
        <f t="shared" si="43"/>
        <v>23.626128898710213</v>
      </c>
      <c r="CA35">
        <f t="shared" si="44"/>
        <v>21.953727780049782</v>
      </c>
    </row>
    <row r="36" spans="1:79" x14ac:dyDescent="0.25">
      <c r="A36">
        <v>6</v>
      </c>
      <c r="B36">
        <v>1.54143585092054E-3</v>
      </c>
      <c r="C36">
        <v>1.54143585092054E-3</v>
      </c>
      <c r="D36">
        <v>3.4254130020456501E-4</v>
      </c>
      <c r="E36">
        <v>0</v>
      </c>
      <c r="F36">
        <v>0</v>
      </c>
      <c r="G36">
        <v>0</v>
      </c>
      <c r="H36" s="5">
        <v>1.7693893431643E-5</v>
      </c>
      <c r="I36" s="5">
        <v>3.7175600603836103E-8</v>
      </c>
      <c r="J36">
        <v>3.36890310328726E-4</v>
      </c>
      <c r="K36">
        <v>0.133710118829723</v>
      </c>
      <c r="L36">
        <v>0.13525951632913</v>
      </c>
      <c r="M36">
        <v>4.9588089642288804E-4</v>
      </c>
      <c r="N36" t="s">
        <v>52</v>
      </c>
      <c r="O36">
        <v>0.1</v>
      </c>
      <c r="P36">
        <v>8</v>
      </c>
      <c r="Q36">
        <v>1.64951815726537E-3</v>
      </c>
      <c r="R36">
        <v>1.6686323374819601E-3</v>
      </c>
      <c r="S36">
        <v>6.1174468293775103E-6</v>
      </c>
      <c r="T36">
        <v>0</v>
      </c>
      <c r="U36">
        <v>0</v>
      </c>
      <c r="V36">
        <v>0</v>
      </c>
      <c r="W36">
        <v>1.6125021937551699E-3</v>
      </c>
      <c r="X36">
        <v>7.8791398968760994E-5</v>
      </c>
      <c r="Y36">
        <v>6.0771375446680096E-6</v>
      </c>
      <c r="Z36">
        <v>1.73492050588017E-3</v>
      </c>
      <c r="AA36">
        <v>7.4515084509212501E-2</v>
      </c>
      <c r="AB36">
        <v>1.8892768957738701E-6</v>
      </c>
      <c r="AC36">
        <v>0.1</v>
      </c>
      <c r="AD36">
        <v>100</v>
      </c>
      <c r="AE36">
        <v>11.395861217105201</v>
      </c>
      <c r="AF36">
        <v>92.374973309314697</v>
      </c>
      <c r="AG36">
        <v>19.708964352883601</v>
      </c>
      <c r="AH36">
        <f t="shared" si="46"/>
        <v>1.1395861217105201</v>
      </c>
      <c r="AI36">
        <f t="shared" si="29"/>
        <v>1.9708964352883602</v>
      </c>
      <c r="AJ36">
        <f t="shared" si="30"/>
        <v>1.1395861217105201</v>
      </c>
      <c r="AK36">
        <f t="shared" si="45"/>
        <v>1.9708964352883602</v>
      </c>
      <c r="AL36">
        <f t="shared" si="47"/>
        <v>0.6147234237398963</v>
      </c>
      <c r="AM36">
        <f t="shared" si="31"/>
        <v>0.52486269797062379</v>
      </c>
      <c r="AN36">
        <f t="shared" si="32"/>
        <v>0.6147234237398963</v>
      </c>
      <c r="AO36" s="5">
        <f t="shared" si="48"/>
        <v>1.7693893431643E-3</v>
      </c>
      <c r="AP36" s="5">
        <f t="shared" si="49"/>
        <v>3.7175600603836104E-6</v>
      </c>
      <c r="AQ36" s="5">
        <f t="shared" si="50"/>
        <v>3.3689031032872602E-2</v>
      </c>
      <c r="AR36">
        <f t="shared" si="51"/>
        <v>10</v>
      </c>
      <c r="AS36" s="5">
        <f t="shared" si="52"/>
        <v>0.154143585092054</v>
      </c>
      <c r="AT36" s="8">
        <f t="shared" si="53"/>
        <v>0.154143585092054</v>
      </c>
      <c r="AU36" s="5">
        <f t="shared" si="54"/>
        <v>3.4254130020456498E-2</v>
      </c>
      <c r="AV36" s="5">
        <f t="shared" si="55"/>
        <v>0.15237419574888969</v>
      </c>
      <c r="AW36" s="8">
        <f t="shared" si="56"/>
        <v>0.15413986753199363</v>
      </c>
      <c r="AX36" s="5">
        <f t="shared" si="57"/>
        <v>5.6509898758389659E-4</v>
      </c>
      <c r="AY36" s="5">
        <f t="shared" si="58"/>
        <v>0.14895484710934523</v>
      </c>
      <c r="AZ36">
        <f t="shared" si="59"/>
        <v>7.2783533767428622E-3</v>
      </c>
      <c r="BA36">
        <f t="shared" si="60"/>
        <v>5.6137541848574164E-4</v>
      </c>
      <c r="BB36" s="5">
        <f t="shared" si="61"/>
        <v>95.000000000000043</v>
      </c>
      <c r="BC36" s="5">
        <f t="shared" si="62"/>
        <v>0.15679457590457385</v>
      </c>
      <c r="BD36" s="5">
        <f t="shared" si="63"/>
        <v>0.30603011072316194</v>
      </c>
      <c r="BE36" s="16">
        <f t="shared" si="64"/>
        <v>0.31415052722763342</v>
      </c>
      <c r="BF36">
        <f t="shared" si="65"/>
        <v>3.419348640547906E-3</v>
      </c>
      <c r="BG36">
        <f t="shared" si="66"/>
        <v>0.14686151443441783</v>
      </c>
      <c r="BH36">
        <f t="shared" si="67"/>
        <v>3.7235690991533795E-6</v>
      </c>
      <c r="BI36">
        <f t="shared" si="68"/>
        <v>0.30057289685722893</v>
      </c>
      <c r="BJ36">
        <f t="shared" si="69"/>
        <v>1.6703235384311312</v>
      </c>
      <c r="BK36">
        <f t="shared" si="70"/>
        <v>0.30057289685722893</v>
      </c>
      <c r="BL36">
        <f t="shared" si="34"/>
        <v>0.82543559482785267</v>
      </c>
      <c r="BM36">
        <f t="shared" si="35"/>
        <v>0.15370579706916238</v>
      </c>
      <c r="BN36">
        <f t="shared" si="36"/>
        <v>0.30057289685722893</v>
      </c>
      <c r="BO36" s="5">
        <f t="shared" si="71"/>
        <v>0.82543559482785267</v>
      </c>
      <c r="BP36" s="5">
        <f t="shared" si="72"/>
        <v>0.31415052722763342</v>
      </c>
      <c r="BQ36" s="4">
        <f t="shared" si="37"/>
        <v>2.2791722434210402</v>
      </c>
      <c r="BR36" s="5">
        <f t="shared" si="73"/>
        <v>0.1380474443862251</v>
      </c>
      <c r="BS36">
        <f t="shared" si="74"/>
        <v>6.8139975528989289</v>
      </c>
      <c r="BT36">
        <f t="shared" si="75"/>
        <v>6.5134246560416997</v>
      </c>
      <c r="BU36">
        <f t="shared" si="38"/>
        <v>5.9885619580710756</v>
      </c>
      <c r="BV36">
        <f t="shared" si="39"/>
        <v>1.6703235384311312</v>
      </c>
      <c r="BW36">
        <f t="shared" si="40"/>
        <v>0.30057289685722893</v>
      </c>
      <c r="BX36" s="4">
        <f t="shared" si="41"/>
        <v>3.9417928705767205</v>
      </c>
      <c r="BY36">
        <f t="shared" si="42"/>
        <v>0.13963860813409501</v>
      </c>
      <c r="BZ36">
        <f t="shared" si="43"/>
        <v>23.575390442955541</v>
      </c>
      <c r="CA36">
        <f t="shared" si="44"/>
        <v>21.905066904524411</v>
      </c>
    </row>
    <row r="37" spans="1:79" x14ac:dyDescent="0.25">
      <c r="A37">
        <v>6</v>
      </c>
      <c r="B37">
        <v>1.54143585092054E-3</v>
      </c>
      <c r="C37">
        <v>1.54143585092054E-3</v>
      </c>
      <c r="D37">
        <v>3.4254130020456501E-4</v>
      </c>
      <c r="E37">
        <v>0</v>
      </c>
      <c r="F37">
        <v>0</v>
      </c>
      <c r="G37">
        <v>0</v>
      </c>
      <c r="H37" s="5">
        <v>1.7693893431643E-5</v>
      </c>
      <c r="I37" s="5">
        <v>3.7175600603836103E-8</v>
      </c>
      <c r="J37">
        <v>3.36890310328726E-4</v>
      </c>
      <c r="K37">
        <v>0.133710118829723</v>
      </c>
      <c r="L37">
        <v>0.13525951632913</v>
      </c>
      <c r="M37">
        <v>4.9588089642288804E-4</v>
      </c>
      <c r="N37" t="s">
        <v>52</v>
      </c>
      <c r="O37">
        <v>0.1</v>
      </c>
      <c r="P37">
        <v>9</v>
      </c>
      <c r="Q37">
        <v>1.64951815726537E-3</v>
      </c>
      <c r="R37">
        <v>1.6686323374819601E-3</v>
      </c>
      <c r="S37">
        <v>6.1174468293775103E-6</v>
      </c>
      <c r="T37">
        <v>0</v>
      </c>
      <c r="U37">
        <v>0</v>
      </c>
      <c r="V37">
        <v>0</v>
      </c>
      <c r="W37">
        <v>1.6125422035540001E-3</v>
      </c>
      <c r="X37">
        <v>7.8793462951453095E-5</v>
      </c>
      <c r="Y37">
        <v>6.0771793070157197E-6</v>
      </c>
      <c r="Z37">
        <v>1.7335688061823E-3</v>
      </c>
      <c r="AA37">
        <v>7.4537498106893293E-2</v>
      </c>
      <c r="AB37">
        <v>1.8878896596870901E-6</v>
      </c>
      <c r="AC37">
        <v>0.1</v>
      </c>
      <c r="AD37">
        <v>100</v>
      </c>
      <c r="AE37">
        <v>11.395861217105201</v>
      </c>
      <c r="AF37">
        <v>92.374973309314697</v>
      </c>
      <c r="AG37">
        <v>19.703012219574401</v>
      </c>
      <c r="AH37">
        <f t="shared" si="46"/>
        <v>1.1395861217105201</v>
      </c>
      <c r="AI37">
        <f t="shared" si="29"/>
        <v>1.9703012219574401</v>
      </c>
      <c r="AJ37">
        <f t="shared" si="30"/>
        <v>1.1395861217105201</v>
      </c>
      <c r="AK37">
        <f t="shared" si="45"/>
        <v>1.9703012219574401</v>
      </c>
      <c r="AL37">
        <f t="shared" si="47"/>
        <v>0.6147234237398963</v>
      </c>
      <c r="AM37">
        <f t="shared" si="31"/>
        <v>0.52486269797062379</v>
      </c>
      <c r="AN37">
        <f t="shared" si="32"/>
        <v>0.6147234237398963</v>
      </c>
      <c r="AO37" s="5">
        <f t="shared" si="48"/>
        <v>1.7693893431643E-3</v>
      </c>
      <c r="AP37" s="5">
        <f t="shared" si="49"/>
        <v>3.7175600603836104E-6</v>
      </c>
      <c r="AQ37" s="5">
        <f t="shared" si="50"/>
        <v>3.3689031032872602E-2</v>
      </c>
      <c r="AR37">
        <f t="shared" si="51"/>
        <v>10</v>
      </c>
      <c r="AS37" s="5">
        <f t="shared" si="52"/>
        <v>0.154143585092054</v>
      </c>
      <c r="AT37" s="8">
        <f t="shared" si="53"/>
        <v>0.154143585092054</v>
      </c>
      <c r="AU37" s="5">
        <f t="shared" si="54"/>
        <v>3.4254130020456498E-2</v>
      </c>
      <c r="AV37" s="5">
        <f t="shared" si="55"/>
        <v>0.15237419574888969</v>
      </c>
      <c r="AW37" s="8">
        <f t="shared" si="56"/>
        <v>0.15413986753199363</v>
      </c>
      <c r="AX37" s="5">
        <f t="shared" si="57"/>
        <v>5.6509898758389659E-4</v>
      </c>
      <c r="AY37" s="5">
        <f t="shared" si="58"/>
        <v>0.14895854301344427</v>
      </c>
      <c r="AZ37">
        <f t="shared" si="59"/>
        <v>7.2785440370889565E-3</v>
      </c>
      <c r="BA37">
        <f t="shared" si="60"/>
        <v>5.6137927628149668E-4</v>
      </c>
      <c r="BB37" s="5">
        <f t="shared" si="61"/>
        <v>95.000000001894321</v>
      </c>
      <c r="BC37" s="5">
        <f t="shared" si="62"/>
        <v>0.15679846632681474</v>
      </c>
      <c r="BD37" s="5">
        <f t="shared" si="63"/>
        <v>0.30603769897839972</v>
      </c>
      <c r="BE37" s="16">
        <f t="shared" si="64"/>
        <v>0.31415831192991095</v>
      </c>
      <c r="BF37">
        <f t="shared" si="65"/>
        <v>3.415652737168286E-3</v>
      </c>
      <c r="BG37">
        <f t="shared" si="66"/>
        <v>0.14686132360166224</v>
      </c>
      <c r="BH37">
        <f t="shared" si="67"/>
        <v>3.7197113034022892E-6</v>
      </c>
      <c r="BI37">
        <f t="shared" si="68"/>
        <v>0.30056511181157125</v>
      </c>
      <c r="BJ37">
        <f t="shared" si="69"/>
        <v>1.6697361101458688</v>
      </c>
      <c r="BK37">
        <f t="shared" si="70"/>
        <v>0.30056511181157125</v>
      </c>
      <c r="BL37">
        <f t="shared" si="34"/>
        <v>0.82542780978219499</v>
      </c>
      <c r="BM37">
        <f t="shared" si="35"/>
        <v>0.15369820864295392</v>
      </c>
      <c r="BN37">
        <f t="shared" si="36"/>
        <v>0.30056511181157125</v>
      </c>
      <c r="BO37" s="5">
        <f t="shared" si="71"/>
        <v>0.82542780978219499</v>
      </c>
      <c r="BP37" s="5">
        <f t="shared" si="72"/>
        <v>0.31415831192991095</v>
      </c>
      <c r="BQ37" s="4">
        <f t="shared" si="37"/>
        <v>2.2791722434210402</v>
      </c>
      <c r="BR37" s="5">
        <f t="shared" si="73"/>
        <v>0.13805045082148509</v>
      </c>
      <c r="BS37">
        <f t="shared" si="74"/>
        <v>6.8137848946111932</v>
      </c>
      <c r="BT37">
        <f t="shared" si="75"/>
        <v>6.5132197827996219</v>
      </c>
      <c r="BU37">
        <f t="shared" si="38"/>
        <v>5.9883570848289978</v>
      </c>
      <c r="BV37">
        <f t="shared" si="39"/>
        <v>1.6697361101458688</v>
      </c>
      <c r="BW37">
        <f t="shared" si="40"/>
        <v>0.30056511181157125</v>
      </c>
      <c r="BX37" s="4">
        <f t="shared" si="41"/>
        <v>3.9406024439148801</v>
      </c>
      <c r="BY37">
        <f t="shared" si="42"/>
        <v>0.13963225911235599</v>
      </c>
      <c r="BZ37">
        <f t="shared" si="43"/>
        <v>23.561053291558096</v>
      </c>
      <c r="CA37">
        <f t="shared" si="44"/>
        <v>21.891317181412226</v>
      </c>
    </row>
    <row r="38" spans="1:79" x14ac:dyDescent="0.25">
      <c r="A38">
        <v>6</v>
      </c>
      <c r="B38">
        <v>1.54143585092054E-3</v>
      </c>
      <c r="C38">
        <v>1.54143585092054E-3</v>
      </c>
      <c r="D38">
        <v>3.4254130020456501E-4</v>
      </c>
      <c r="E38">
        <v>0</v>
      </c>
      <c r="F38">
        <v>0</v>
      </c>
      <c r="G38">
        <v>0</v>
      </c>
      <c r="H38" s="5">
        <v>1.7693893431643E-5</v>
      </c>
      <c r="I38" s="5">
        <v>3.7175600603836103E-8</v>
      </c>
      <c r="J38">
        <v>3.36890310328726E-4</v>
      </c>
      <c r="K38">
        <v>0.133710118829723</v>
      </c>
      <c r="L38">
        <v>0.13525951632913</v>
      </c>
      <c r="M38">
        <v>4.9588089642288804E-4</v>
      </c>
      <c r="N38" t="s">
        <v>52</v>
      </c>
      <c r="O38">
        <v>0.1</v>
      </c>
      <c r="P38">
        <v>10</v>
      </c>
      <c r="Q38">
        <v>1.64951815726537E-3</v>
      </c>
      <c r="R38">
        <v>1.6686323374819601E-3</v>
      </c>
      <c r="S38">
        <v>6.1174468293775103E-6</v>
      </c>
      <c r="T38">
        <v>0</v>
      </c>
      <c r="U38">
        <v>0</v>
      </c>
      <c r="V38">
        <v>0</v>
      </c>
      <c r="W38">
        <v>1.61255347742774E-3</v>
      </c>
      <c r="X38">
        <v>7.8794044578505199E-5</v>
      </c>
      <c r="Y38">
        <v>6.07719107473002E-6</v>
      </c>
      <c r="Z38">
        <v>1.7331877781333199E-3</v>
      </c>
      <c r="AA38">
        <v>7.4543816233418506E-2</v>
      </c>
      <c r="AB38">
        <v>1.88749861433376E-6</v>
      </c>
      <c r="AC38">
        <v>0.1</v>
      </c>
      <c r="AD38">
        <v>100</v>
      </c>
      <c r="AE38">
        <v>11.395861217105201</v>
      </c>
      <c r="AF38">
        <v>92.374973309314697</v>
      </c>
      <c r="AG38">
        <v>19.7013350519025</v>
      </c>
      <c r="AH38">
        <f t="shared" si="46"/>
        <v>1.1395861217105201</v>
      </c>
      <c r="AI38">
        <f t="shared" si="29"/>
        <v>1.9701335051902502</v>
      </c>
      <c r="AJ38">
        <f t="shared" si="30"/>
        <v>1.1395861217105201</v>
      </c>
      <c r="AK38">
        <f t="shared" si="45"/>
        <v>1.9701335051902502</v>
      </c>
      <c r="AL38">
        <f t="shared" si="47"/>
        <v>0.6147234237398963</v>
      </c>
      <c r="AM38">
        <f t="shared" si="31"/>
        <v>0.52486269797062379</v>
      </c>
      <c r="AN38">
        <f t="shared" si="32"/>
        <v>0.6147234237398963</v>
      </c>
      <c r="AO38" s="5">
        <f t="shared" si="48"/>
        <v>1.7693893431643E-3</v>
      </c>
      <c r="AP38" s="5">
        <f t="shared" si="49"/>
        <v>3.7175600603836104E-6</v>
      </c>
      <c r="AQ38" s="5">
        <f t="shared" si="50"/>
        <v>3.3689031032872602E-2</v>
      </c>
      <c r="AR38">
        <f t="shared" si="51"/>
        <v>10</v>
      </c>
      <c r="AS38" s="5">
        <f t="shared" si="52"/>
        <v>0.154143585092054</v>
      </c>
      <c r="AT38" s="8">
        <f t="shared" si="53"/>
        <v>0.154143585092054</v>
      </c>
      <c r="AU38" s="5">
        <f t="shared" si="54"/>
        <v>3.4254130020456498E-2</v>
      </c>
      <c r="AV38" s="5">
        <f t="shared" si="55"/>
        <v>0.15237419574888969</v>
      </c>
      <c r="AW38" s="8">
        <f t="shared" si="56"/>
        <v>0.15413986753199363</v>
      </c>
      <c r="AX38" s="5">
        <f t="shared" si="57"/>
        <v>5.6509898758389659E-4</v>
      </c>
      <c r="AY38" s="5">
        <f t="shared" si="58"/>
        <v>0.14895958443723009</v>
      </c>
      <c r="AZ38">
        <f t="shared" si="59"/>
        <v>7.2785977648723698E-3</v>
      </c>
      <c r="BA38">
        <f t="shared" si="60"/>
        <v>5.6138036332379108E-4</v>
      </c>
      <c r="BB38" s="5">
        <f t="shared" si="61"/>
        <v>95.000000000047933</v>
      </c>
      <c r="BC38" s="5">
        <f t="shared" si="62"/>
        <v>0.15679956256542624</v>
      </c>
      <c r="BD38" s="5">
        <f t="shared" si="63"/>
        <v>0.30603983718431826</v>
      </c>
      <c r="BE38" s="16">
        <f t="shared" si="64"/>
        <v>0.31416050549417629</v>
      </c>
      <c r="BF38">
        <f t="shared" si="65"/>
        <v>3.4146113124866994E-3</v>
      </c>
      <c r="BG38">
        <f t="shared" si="66"/>
        <v>0.14686126996620266</v>
      </c>
      <c r="BH38">
        <f t="shared" si="67"/>
        <v>3.718624261099111E-6</v>
      </c>
      <c r="BI38">
        <f t="shared" si="68"/>
        <v>0.30056291843016197</v>
      </c>
      <c r="BJ38">
        <f t="shared" si="69"/>
        <v>1.6695705867600883</v>
      </c>
      <c r="BK38">
        <f t="shared" si="70"/>
        <v>0.30056291843016197</v>
      </c>
      <c r="BL38">
        <f t="shared" si="34"/>
        <v>0.82542561640078582</v>
      </c>
      <c r="BM38">
        <f t="shared" si="35"/>
        <v>0.1536960705275677</v>
      </c>
      <c r="BN38">
        <f t="shared" si="36"/>
        <v>0.30056291843016197</v>
      </c>
      <c r="BO38" s="5">
        <f t="shared" si="71"/>
        <v>0.82542561640078582</v>
      </c>
      <c r="BP38" s="5">
        <f t="shared" si="72"/>
        <v>0.31416050549417629</v>
      </c>
      <c r="BQ38" s="4">
        <f t="shared" si="37"/>
        <v>2.2791722434210402</v>
      </c>
      <c r="BR38" s="5">
        <f t="shared" si="73"/>
        <v>0.13805129796802232</v>
      </c>
      <c r="BS38">
        <f t="shared" si="74"/>
        <v>6.8137249761503451</v>
      </c>
      <c r="BT38">
        <f t="shared" si="75"/>
        <v>6.5131620577201828</v>
      </c>
      <c r="BU38">
        <f t="shared" si="38"/>
        <v>5.9882993597495586</v>
      </c>
      <c r="BV38">
        <f t="shared" si="39"/>
        <v>1.6695705867600883</v>
      </c>
      <c r="BW38">
        <f t="shared" si="40"/>
        <v>0.30056291843016197</v>
      </c>
      <c r="BX38" s="4">
        <f t="shared" si="41"/>
        <v>3.9402670103805004</v>
      </c>
      <c r="BY38">
        <f t="shared" si="42"/>
        <v>0.13963046996866812</v>
      </c>
      <c r="BZ38">
        <f t="shared" si="43"/>
        <v>23.557014117293175</v>
      </c>
      <c r="CA38">
        <f t="shared" si="44"/>
        <v>21.887443530533087</v>
      </c>
    </row>
    <row r="39" spans="1:79" x14ac:dyDescent="0.25">
      <c r="A39">
        <v>6</v>
      </c>
      <c r="B39">
        <v>1.54143585092054E-3</v>
      </c>
      <c r="C39">
        <v>1.54143585092054E-3</v>
      </c>
      <c r="D39">
        <v>3.4254130020456501E-4</v>
      </c>
      <c r="E39">
        <v>0</v>
      </c>
      <c r="F39">
        <v>0</v>
      </c>
      <c r="G39">
        <v>0</v>
      </c>
      <c r="H39" s="5">
        <v>1.7693893431643E-5</v>
      </c>
      <c r="I39" s="5">
        <v>3.7175600603836103E-8</v>
      </c>
      <c r="J39">
        <v>3.36890310328726E-4</v>
      </c>
      <c r="K39">
        <v>0.133710118829723</v>
      </c>
      <c r="L39">
        <v>0.13525951632913</v>
      </c>
      <c r="M39">
        <v>4.9588089642288804E-4</v>
      </c>
      <c r="N39" t="s">
        <v>52</v>
      </c>
      <c r="O39">
        <v>0.1</v>
      </c>
      <c r="P39">
        <v>11</v>
      </c>
      <c r="Q39">
        <v>1.64951815726537E-3</v>
      </c>
      <c r="R39">
        <v>1.6686323374819601E-3</v>
      </c>
      <c r="S39">
        <v>6.1174468293775103E-6</v>
      </c>
      <c r="T39">
        <v>0</v>
      </c>
      <c r="U39">
        <v>0</v>
      </c>
      <c r="V39">
        <v>0</v>
      </c>
      <c r="W39">
        <v>1.61255664991154E-3</v>
      </c>
      <c r="X39">
        <v>7.87942082405777E-5</v>
      </c>
      <c r="Y39">
        <v>6.0771943863253104E-6</v>
      </c>
      <c r="Z39">
        <v>1.7330805296501401E-3</v>
      </c>
      <c r="AA39">
        <v>7.4545594606665405E-2</v>
      </c>
      <c r="AB39">
        <v>1.8873885461363599E-6</v>
      </c>
      <c r="AC39">
        <v>0.1</v>
      </c>
      <c r="AD39">
        <v>100</v>
      </c>
      <c r="AE39">
        <v>11.395861217105201</v>
      </c>
      <c r="AF39">
        <v>92.374973309314697</v>
      </c>
      <c r="AG39">
        <v>19.700863184865998</v>
      </c>
      <c r="AH39">
        <f t="shared" si="46"/>
        <v>1.1395861217105201</v>
      </c>
      <c r="AI39">
        <f t="shared" si="29"/>
        <v>1.9700863184866</v>
      </c>
      <c r="AJ39">
        <f t="shared" si="30"/>
        <v>1.1395861217105201</v>
      </c>
      <c r="AK39">
        <f t="shared" si="45"/>
        <v>1.9700863184866</v>
      </c>
      <c r="AL39">
        <f t="shared" si="47"/>
        <v>0.6147234237398963</v>
      </c>
      <c r="AM39">
        <f t="shared" si="31"/>
        <v>0.52486269797062379</v>
      </c>
      <c r="AN39">
        <f t="shared" si="32"/>
        <v>0.6147234237398963</v>
      </c>
      <c r="AO39" s="5">
        <f t="shared" si="48"/>
        <v>1.7693893431643E-3</v>
      </c>
      <c r="AP39" s="5">
        <f t="shared" si="49"/>
        <v>3.7175600603836104E-6</v>
      </c>
      <c r="AQ39" s="5">
        <f t="shared" si="50"/>
        <v>3.3689031032872602E-2</v>
      </c>
      <c r="AR39">
        <f t="shared" si="51"/>
        <v>10</v>
      </c>
      <c r="AS39" s="5">
        <f t="shared" si="52"/>
        <v>0.154143585092054</v>
      </c>
      <c r="AT39" s="8">
        <f t="shared" si="53"/>
        <v>0.154143585092054</v>
      </c>
      <c r="AU39" s="5">
        <f t="shared" si="54"/>
        <v>3.4254130020456498E-2</v>
      </c>
      <c r="AV39" s="5">
        <f t="shared" si="55"/>
        <v>0.15237419574888969</v>
      </c>
      <c r="AW39" s="8">
        <f t="shared" si="56"/>
        <v>0.15413986753199363</v>
      </c>
      <c r="AX39" s="5">
        <f t="shared" si="57"/>
        <v>5.6509898758389659E-4</v>
      </c>
      <c r="AY39" s="5">
        <f t="shared" si="58"/>
        <v>0.14895987749533643</v>
      </c>
      <c r="AZ39">
        <f t="shared" si="59"/>
        <v>7.2786128831519494E-3</v>
      </c>
      <c r="BA39">
        <f t="shared" si="60"/>
        <v>5.6138066923231767E-4</v>
      </c>
      <c r="BB39" s="5">
        <f t="shared" si="61"/>
        <v>95.000000000001123</v>
      </c>
      <c r="BC39" s="5">
        <f t="shared" si="62"/>
        <v>0.1567998710477207</v>
      </c>
      <c r="BD39" s="5">
        <f t="shared" si="63"/>
        <v>0.30604043887767329</v>
      </c>
      <c r="BE39" s="16">
        <f t="shared" si="64"/>
        <v>0.31416112276467373</v>
      </c>
      <c r="BF39">
        <f t="shared" si="65"/>
        <v>3.4143182402992514E-3</v>
      </c>
      <c r="BG39">
        <f t="shared" si="66"/>
        <v>0.14686125603803998</v>
      </c>
      <c r="BH39">
        <f t="shared" si="67"/>
        <v>3.7183183524115578E-6</v>
      </c>
      <c r="BI39">
        <f t="shared" si="68"/>
        <v>0.30056230351173568</v>
      </c>
      <c r="BJ39">
        <f t="shared" si="69"/>
        <v>1.6695240149748642</v>
      </c>
      <c r="BK39">
        <f t="shared" si="70"/>
        <v>0.30056230351173568</v>
      </c>
      <c r="BL39">
        <f t="shared" si="34"/>
        <v>0.82542500148235942</v>
      </c>
      <c r="BM39">
        <f t="shared" si="35"/>
        <v>0.15369546999616709</v>
      </c>
      <c r="BN39">
        <f t="shared" si="36"/>
        <v>0.30056230351173568</v>
      </c>
      <c r="BO39" s="5">
        <f t="shared" si="71"/>
        <v>0.82542500148235942</v>
      </c>
      <c r="BP39" s="5">
        <f t="shared" si="72"/>
        <v>0.31416112276467373</v>
      </c>
      <c r="BQ39" s="4">
        <f t="shared" si="37"/>
        <v>2.2791722434210402</v>
      </c>
      <c r="BR39" s="5">
        <f t="shared" si="73"/>
        <v>0.13805153635538386</v>
      </c>
      <c r="BS39">
        <f t="shared" si="74"/>
        <v>6.8137081341905565</v>
      </c>
      <c r="BT39">
        <f t="shared" si="75"/>
        <v>6.5131458306788206</v>
      </c>
      <c r="BU39">
        <f t="shared" si="38"/>
        <v>5.9882831327081965</v>
      </c>
      <c r="BV39">
        <f t="shared" si="39"/>
        <v>1.6695240149748642</v>
      </c>
      <c r="BW39">
        <f t="shared" si="40"/>
        <v>0.30056230351173568</v>
      </c>
      <c r="BX39" s="4">
        <f t="shared" si="41"/>
        <v>3.9401726369732</v>
      </c>
      <c r="BY39">
        <f t="shared" si="42"/>
        <v>0.13962996752010534</v>
      </c>
      <c r="BZ39">
        <f t="shared" si="43"/>
        <v>23.555877572006157</v>
      </c>
      <c r="CA39">
        <f t="shared" si="44"/>
        <v>21.886353557031292</v>
      </c>
    </row>
    <row r="40" spans="1:79" x14ac:dyDescent="0.25">
      <c r="A40">
        <v>6</v>
      </c>
      <c r="B40">
        <v>1.54143585092054E-3</v>
      </c>
      <c r="C40">
        <v>1.54143585092054E-3</v>
      </c>
      <c r="D40">
        <v>3.4254130020456501E-4</v>
      </c>
      <c r="E40">
        <v>0</v>
      </c>
      <c r="F40">
        <v>0</v>
      </c>
      <c r="G40">
        <v>0</v>
      </c>
      <c r="H40" s="5">
        <v>1.7693893431643E-5</v>
      </c>
      <c r="I40" s="5">
        <v>3.7175600603836103E-8</v>
      </c>
      <c r="J40">
        <v>3.36890310328726E-4</v>
      </c>
      <c r="K40">
        <v>0.133710118829723</v>
      </c>
      <c r="L40">
        <v>0.13525951632913</v>
      </c>
      <c r="M40">
        <v>4.9588089642288804E-4</v>
      </c>
      <c r="N40" t="s">
        <v>52</v>
      </c>
      <c r="O40">
        <v>0.1</v>
      </c>
      <c r="P40">
        <v>12</v>
      </c>
      <c r="Q40">
        <v>1.64951815726537E-3</v>
      </c>
      <c r="R40">
        <v>1.6686323374819601E-3</v>
      </c>
      <c r="S40">
        <v>6.1174468293775103E-6</v>
      </c>
      <c r="T40">
        <v>0</v>
      </c>
      <c r="U40">
        <v>0</v>
      </c>
      <c r="V40">
        <v>0</v>
      </c>
      <c r="W40">
        <v>1.6125575429752001E-3</v>
      </c>
      <c r="X40">
        <v>7.8794254311918995E-5</v>
      </c>
      <c r="Y40">
        <v>6.0771953183527996E-6</v>
      </c>
      <c r="Z40">
        <v>1.7330503585533999E-3</v>
      </c>
      <c r="AA40">
        <v>7.4546094895645801E-2</v>
      </c>
      <c r="AB40">
        <v>1.8873575819805E-6</v>
      </c>
      <c r="AC40">
        <v>0.1</v>
      </c>
      <c r="AD40">
        <v>100</v>
      </c>
      <c r="AE40">
        <v>11.395861217105201</v>
      </c>
      <c r="AF40">
        <v>92.374973309314697</v>
      </c>
      <c r="AG40">
        <v>19.700730227634299</v>
      </c>
      <c r="AH40">
        <f t="shared" si="46"/>
        <v>1.1395861217105201</v>
      </c>
      <c r="AI40">
        <f t="shared" si="29"/>
        <v>1.97007302276343</v>
      </c>
      <c r="AJ40">
        <f t="shared" si="30"/>
        <v>1.1395861217105201</v>
      </c>
      <c r="AK40">
        <f t="shared" si="45"/>
        <v>1.97007302276343</v>
      </c>
      <c r="AL40">
        <f t="shared" si="47"/>
        <v>0.6147234237398963</v>
      </c>
      <c r="AM40">
        <f t="shared" si="31"/>
        <v>0.52486269797062379</v>
      </c>
      <c r="AN40">
        <f t="shared" si="32"/>
        <v>0.6147234237398963</v>
      </c>
      <c r="AO40" s="5">
        <f t="shared" si="48"/>
        <v>1.7693893431643E-3</v>
      </c>
      <c r="AP40" s="5">
        <f t="shared" si="49"/>
        <v>3.7175600603836104E-6</v>
      </c>
      <c r="AQ40" s="5">
        <f t="shared" si="50"/>
        <v>3.3689031032872602E-2</v>
      </c>
      <c r="AR40">
        <f t="shared" si="51"/>
        <v>10</v>
      </c>
      <c r="AS40" s="5">
        <f t="shared" si="52"/>
        <v>0.154143585092054</v>
      </c>
      <c r="AT40" s="8">
        <f t="shared" si="53"/>
        <v>0.154143585092054</v>
      </c>
      <c r="AU40" s="5">
        <f t="shared" si="54"/>
        <v>3.4254130020456498E-2</v>
      </c>
      <c r="AV40" s="5">
        <f t="shared" si="55"/>
        <v>0.15237419574888969</v>
      </c>
      <c r="AW40" s="8">
        <f t="shared" si="56"/>
        <v>0.15413986753199363</v>
      </c>
      <c r="AX40" s="5">
        <f t="shared" si="57"/>
        <v>5.6509898758389659E-4</v>
      </c>
      <c r="AY40" s="5">
        <f t="shared" si="58"/>
        <v>0.14895995999206821</v>
      </c>
      <c r="AZ40">
        <f t="shared" si="59"/>
        <v>7.278617138990872E-3</v>
      </c>
      <c r="BA40">
        <f t="shared" si="60"/>
        <v>5.613807553283321E-4</v>
      </c>
      <c r="BB40" s="5">
        <f t="shared" si="61"/>
        <v>95.000000000000114</v>
      </c>
      <c r="BC40" s="5">
        <f t="shared" si="62"/>
        <v>0.1567999578863874</v>
      </c>
      <c r="BD40" s="5">
        <f t="shared" si="63"/>
        <v>0.30604060825611978</v>
      </c>
      <c r="BE40" s="16">
        <f t="shared" si="64"/>
        <v>0.31416129652810315</v>
      </c>
      <c r="BF40">
        <f t="shared" si="65"/>
        <v>3.4142357584765427E-3</v>
      </c>
      <c r="BG40">
        <f t="shared" si="66"/>
        <v>0.14686125050627441</v>
      </c>
      <c r="BH40">
        <f t="shared" si="67"/>
        <v>3.7182322565678017E-6</v>
      </c>
      <c r="BI40">
        <f t="shared" si="68"/>
        <v>0.30056212722627162</v>
      </c>
      <c r="BJ40">
        <f t="shared" si="69"/>
        <v>1.6695108955371585</v>
      </c>
      <c r="BK40">
        <f t="shared" si="70"/>
        <v>0.30056212722627162</v>
      </c>
      <c r="BL40">
        <f t="shared" si="34"/>
        <v>0.82542482519689542</v>
      </c>
      <c r="BM40">
        <f t="shared" si="35"/>
        <v>0.15369529937161236</v>
      </c>
      <c r="BN40">
        <f t="shared" si="36"/>
        <v>0.30056212722627162</v>
      </c>
      <c r="BO40" s="5">
        <f t="shared" si="71"/>
        <v>0.82542482519689542</v>
      </c>
      <c r="BP40" s="5">
        <f t="shared" si="72"/>
        <v>0.31416129652810315</v>
      </c>
      <c r="BQ40" s="4">
        <f t="shared" si="37"/>
        <v>2.2791722434210402</v>
      </c>
      <c r="BR40" s="5">
        <f t="shared" si="73"/>
        <v>0.1380516034620948</v>
      </c>
      <c r="BS40">
        <f t="shared" si="74"/>
        <v>6.8137033668572258</v>
      </c>
      <c r="BT40">
        <f t="shared" si="75"/>
        <v>6.5131412396309543</v>
      </c>
      <c r="BU40">
        <f t="shared" si="38"/>
        <v>5.9882785416603301</v>
      </c>
      <c r="BV40">
        <f t="shared" si="39"/>
        <v>1.6695108955371585</v>
      </c>
      <c r="BW40">
        <f t="shared" si="40"/>
        <v>0.30056212722627162</v>
      </c>
      <c r="BX40" s="4">
        <f t="shared" si="41"/>
        <v>3.94014604552686</v>
      </c>
      <c r="BY40">
        <f t="shared" si="42"/>
        <v>0.13962982464045581</v>
      </c>
      <c r="BZ40">
        <f t="shared" si="43"/>
        <v>23.555557596499423</v>
      </c>
      <c r="CA40">
        <f t="shared" si="44"/>
        <v>21.886046700962265</v>
      </c>
    </row>
    <row r="41" spans="1:79" x14ac:dyDescent="0.25">
      <c r="A41">
        <v>6</v>
      </c>
      <c r="B41">
        <v>1.54143585092054E-3</v>
      </c>
      <c r="C41">
        <v>1.54143585092054E-3</v>
      </c>
      <c r="D41">
        <v>3.4254130020456501E-4</v>
      </c>
      <c r="E41">
        <v>0</v>
      </c>
      <c r="F41">
        <v>0</v>
      </c>
      <c r="G41">
        <v>0</v>
      </c>
      <c r="H41" s="5">
        <v>1.7693893431643E-5</v>
      </c>
      <c r="I41" s="5">
        <v>3.7175600603836103E-8</v>
      </c>
      <c r="J41">
        <v>3.36890310328726E-4</v>
      </c>
      <c r="K41">
        <v>0.133710118829723</v>
      </c>
      <c r="L41">
        <v>0.13525951632913</v>
      </c>
      <c r="M41">
        <v>4.9588089642288804E-4</v>
      </c>
      <c r="N41" t="s">
        <v>52</v>
      </c>
      <c r="O41">
        <v>0.1</v>
      </c>
      <c r="P41">
        <v>13</v>
      </c>
      <c r="Q41">
        <v>1.64951815726537E-3</v>
      </c>
      <c r="R41">
        <v>1.6686323374819601E-3</v>
      </c>
      <c r="S41">
        <v>6.1174468293775103E-6</v>
      </c>
      <c r="T41">
        <v>0</v>
      </c>
      <c r="U41">
        <v>0</v>
      </c>
      <c r="V41">
        <v>0</v>
      </c>
      <c r="W41">
        <v>1.6125577940565899E-3</v>
      </c>
      <c r="X41">
        <v>7.87942672646522E-5</v>
      </c>
      <c r="Y41">
        <v>6.0771955804315697E-6</v>
      </c>
      <c r="Z41">
        <v>1.73304187149951E-3</v>
      </c>
      <c r="AA41">
        <v>7.4546235626165996E-2</v>
      </c>
      <c r="AB41">
        <v>1.8873488718012801E-6</v>
      </c>
      <c r="AC41">
        <v>0.1</v>
      </c>
      <c r="AD41">
        <v>100</v>
      </c>
      <c r="AE41">
        <v>11.395861217105201</v>
      </c>
      <c r="AF41">
        <v>92.374973309314697</v>
      </c>
      <c r="AG41">
        <v>19.7006928745454</v>
      </c>
      <c r="AH41">
        <f t="shared" si="46"/>
        <v>1.1395861217105201</v>
      </c>
      <c r="AI41">
        <f t="shared" si="29"/>
        <v>1.97006928745454</v>
      </c>
      <c r="AJ41">
        <f t="shared" si="30"/>
        <v>1.1395861217105201</v>
      </c>
      <c r="AK41">
        <f t="shared" si="45"/>
        <v>1.97006928745454</v>
      </c>
      <c r="AL41">
        <f t="shared" si="47"/>
        <v>0.6147234237398963</v>
      </c>
      <c r="AM41">
        <f t="shared" si="31"/>
        <v>0.52486269797062379</v>
      </c>
      <c r="AN41">
        <f t="shared" si="32"/>
        <v>0.6147234237398963</v>
      </c>
      <c r="AO41" s="5">
        <f t="shared" si="48"/>
        <v>1.7693893431643E-3</v>
      </c>
      <c r="AP41" s="5">
        <f t="shared" si="49"/>
        <v>3.7175600603836104E-6</v>
      </c>
      <c r="AQ41" s="5">
        <f t="shared" si="50"/>
        <v>3.3689031032872602E-2</v>
      </c>
      <c r="AR41">
        <f t="shared" si="51"/>
        <v>10</v>
      </c>
      <c r="AS41" s="5">
        <f t="shared" si="52"/>
        <v>0.154143585092054</v>
      </c>
      <c r="AT41" s="8">
        <f t="shared" si="53"/>
        <v>0.154143585092054</v>
      </c>
      <c r="AU41" s="5">
        <f t="shared" si="54"/>
        <v>3.4254130020456498E-2</v>
      </c>
      <c r="AV41" s="5">
        <f t="shared" si="55"/>
        <v>0.15237419574888969</v>
      </c>
      <c r="AW41" s="8">
        <f t="shared" si="56"/>
        <v>0.15413986753199363</v>
      </c>
      <c r="AX41" s="5">
        <f t="shared" si="57"/>
        <v>5.6509898758389659E-4</v>
      </c>
      <c r="AY41" s="5">
        <f t="shared" si="58"/>
        <v>0.14895998318570489</v>
      </c>
      <c r="AZ41">
        <f t="shared" si="59"/>
        <v>7.2786183354992557E-3</v>
      </c>
      <c r="BA41">
        <f t="shared" si="60"/>
        <v>5.6138077953785147E-4</v>
      </c>
      <c r="BB41" s="5">
        <f t="shared" si="61"/>
        <v>95</v>
      </c>
      <c r="BC41" s="5">
        <f t="shared" si="62"/>
        <v>0.15679998230074199</v>
      </c>
      <c r="BD41" s="5">
        <f t="shared" si="63"/>
        <v>0.30604065587621582</v>
      </c>
      <c r="BE41" s="16">
        <f t="shared" si="64"/>
        <v>0.31416134538102186</v>
      </c>
      <c r="BF41">
        <f t="shared" si="65"/>
        <v>3.4142125649139223E-3</v>
      </c>
      <c r="BG41">
        <f t="shared" si="66"/>
        <v>0.14686124930245908</v>
      </c>
      <c r="BH41">
        <f t="shared" si="67"/>
        <v>3.7182080470476777E-6</v>
      </c>
      <c r="BI41">
        <f t="shared" si="68"/>
        <v>0.30056207835888715</v>
      </c>
      <c r="BJ41">
        <f t="shared" si="69"/>
        <v>1.6695072090956529</v>
      </c>
      <c r="BK41">
        <f t="shared" si="70"/>
        <v>0.30056207835888715</v>
      </c>
      <c r="BL41">
        <f t="shared" si="34"/>
        <v>0.82542477632951095</v>
      </c>
      <c r="BM41">
        <f t="shared" si="35"/>
        <v>0.1536952517443575</v>
      </c>
      <c r="BN41">
        <f t="shared" si="36"/>
        <v>0.30056207835888715</v>
      </c>
      <c r="BO41" s="5">
        <f t="shared" si="71"/>
        <v>0.82542477632951095</v>
      </c>
      <c r="BP41" s="5">
        <f t="shared" si="72"/>
        <v>0.31416134538102186</v>
      </c>
      <c r="BQ41" s="4">
        <f t="shared" si="37"/>
        <v>2.2791722434210402</v>
      </c>
      <c r="BR41" s="5">
        <f t="shared" si="73"/>
        <v>0.13805162232888643</v>
      </c>
      <c r="BS41">
        <f t="shared" si="74"/>
        <v>6.8137020322744686</v>
      </c>
      <c r="BT41">
        <f t="shared" si="75"/>
        <v>6.5131399539155819</v>
      </c>
      <c r="BU41">
        <f t="shared" si="38"/>
        <v>5.9882772559449577</v>
      </c>
      <c r="BV41">
        <f t="shared" si="39"/>
        <v>1.6695072090956529</v>
      </c>
      <c r="BW41">
        <f t="shared" si="40"/>
        <v>0.30056207835888715</v>
      </c>
      <c r="BX41" s="4">
        <f t="shared" si="41"/>
        <v>3.94013857490908</v>
      </c>
      <c r="BY41">
        <f t="shared" si="42"/>
        <v>0.13962978478380522</v>
      </c>
      <c r="BZ41">
        <f t="shared" si="43"/>
        <v>23.555467645501707</v>
      </c>
      <c r="CA41">
        <f t="shared" si="44"/>
        <v>21.885960436406055</v>
      </c>
    </row>
    <row r="42" spans="1:79" x14ac:dyDescent="0.25">
      <c r="A42">
        <v>7</v>
      </c>
      <c r="B42">
        <v>1.54143585092054E-3</v>
      </c>
      <c r="C42">
        <v>1.54143585092054E-3</v>
      </c>
      <c r="D42">
        <v>3.4254130020456501E-4</v>
      </c>
      <c r="E42">
        <v>0</v>
      </c>
      <c r="F42">
        <v>0</v>
      </c>
      <c r="G42">
        <v>0</v>
      </c>
      <c r="H42" s="5">
        <v>1.7744466230058299E-5</v>
      </c>
      <c r="I42" s="5">
        <v>1.2927742824924801E-8</v>
      </c>
      <c r="J42">
        <v>3.3739048286900598E-4</v>
      </c>
      <c r="K42">
        <v>0.13716795306346499</v>
      </c>
      <c r="L42">
        <v>0.138764207307677</v>
      </c>
      <c r="M42">
        <v>4.6369433969460899E-4</v>
      </c>
      <c r="N42" t="s">
        <v>52</v>
      </c>
      <c r="O42">
        <v>0.1</v>
      </c>
      <c r="P42">
        <v>4</v>
      </c>
      <c r="Q42">
        <v>1.64967327652189E-3</v>
      </c>
      <c r="R42">
        <v>1.66887089455438E-3</v>
      </c>
      <c r="S42">
        <v>5.5766973522943398E-6</v>
      </c>
      <c r="T42">
        <v>0</v>
      </c>
      <c r="U42">
        <v>0</v>
      </c>
      <c r="V42">
        <v>0</v>
      </c>
      <c r="W42">
        <v>1.6047223792851101E-3</v>
      </c>
      <c r="X42">
        <v>7.8926667299838998E-5</v>
      </c>
      <c r="Y42">
        <v>5.5324052965634797E-6</v>
      </c>
      <c r="Z42">
        <v>1.9882830340612E-3</v>
      </c>
      <c r="AA42">
        <v>7.0326941752228797E-2</v>
      </c>
      <c r="AB42">
        <v>1.9591409371835302E-6</v>
      </c>
      <c r="AC42">
        <v>0.1</v>
      </c>
      <c r="AD42">
        <v>100</v>
      </c>
      <c r="AE42">
        <v>11.1082169753281</v>
      </c>
      <c r="AF42">
        <v>92.363221637625401</v>
      </c>
      <c r="AG42">
        <v>20.881381645079998</v>
      </c>
      <c r="AH42">
        <f t="shared" si="46"/>
        <v>1.11082169753281</v>
      </c>
      <c r="AI42">
        <f t="shared" si="29"/>
        <v>2.0881381645079999</v>
      </c>
      <c r="AJ42">
        <f t="shared" si="30"/>
        <v>1.11082169753281</v>
      </c>
      <c r="AK42">
        <f t="shared" si="45"/>
        <v>2.0881381645079999</v>
      </c>
      <c r="AL42">
        <f t="shared" si="47"/>
        <v>0.61456810677540286</v>
      </c>
      <c r="AM42">
        <f t="shared" si="31"/>
        <v>0.49625359075740716</v>
      </c>
      <c r="AN42">
        <f t="shared" si="32"/>
        <v>0.61456810677540286</v>
      </c>
      <c r="AO42" s="5">
        <f t="shared" si="48"/>
        <v>1.7744466230058299E-3</v>
      </c>
      <c r="AP42" s="5">
        <f t="shared" si="49"/>
        <v>1.29277428249248E-6</v>
      </c>
      <c r="AQ42" s="5">
        <f t="shared" si="50"/>
        <v>3.3739048286900594E-2</v>
      </c>
      <c r="AR42">
        <f t="shared" si="51"/>
        <v>10</v>
      </c>
      <c r="AS42" s="5">
        <f t="shared" si="52"/>
        <v>0.154143585092054</v>
      </c>
      <c r="AT42" s="8">
        <f t="shared" si="53"/>
        <v>0.154143585092054</v>
      </c>
      <c r="AU42" s="5">
        <f t="shared" si="54"/>
        <v>3.4254130020456498E-2</v>
      </c>
      <c r="AV42" s="5">
        <f t="shared" si="55"/>
        <v>0.15236913846904818</v>
      </c>
      <c r="AW42" s="8">
        <f t="shared" si="56"/>
        <v>0.15414229231777152</v>
      </c>
      <c r="AX42" s="5">
        <f t="shared" si="57"/>
        <v>5.1508173355590409E-4</v>
      </c>
      <c r="AY42" s="5">
        <f t="shared" si="58"/>
        <v>0.1482173287847682</v>
      </c>
      <c r="AZ42">
        <f t="shared" si="59"/>
        <v>7.2899212649341506E-3</v>
      </c>
      <c r="BA42">
        <f t="shared" si="60"/>
        <v>5.1099077659566539E-4</v>
      </c>
      <c r="BB42" s="5">
        <f t="shared" si="61"/>
        <v>94.99999999986224</v>
      </c>
      <c r="BC42" s="5">
        <f t="shared" si="62"/>
        <v>0.15601824082629803</v>
      </c>
      <c r="BD42" s="5">
        <f t="shared" si="63"/>
        <v>0.30449106499936407</v>
      </c>
      <c r="BE42" s="16">
        <f t="shared" si="64"/>
        <v>0.31254747242919173</v>
      </c>
      <c r="BF42">
        <f t="shared" si="65"/>
        <v>4.1518096852669511E-3</v>
      </c>
      <c r="BG42">
        <f t="shared" si="66"/>
        <v>0.14685237106596005</v>
      </c>
      <c r="BH42">
        <f t="shared" si="67"/>
        <v>4.0909569605828993E-6</v>
      </c>
      <c r="BI42">
        <f t="shared" si="68"/>
        <v>0.30202063437333576</v>
      </c>
      <c r="BJ42">
        <f t="shared" si="69"/>
        <v>1.7861175301346641</v>
      </c>
      <c r="BK42">
        <f t="shared" si="70"/>
        <v>0.30202063437333576</v>
      </c>
      <c r="BL42">
        <f t="shared" si="34"/>
        <v>0.79827422513074286</v>
      </c>
      <c r="BM42">
        <f t="shared" si="35"/>
        <v>0.15516212687193481</v>
      </c>
      <c r="BN42">
        <f t="shared" si="36"/>
        <v>0.30202063437333576</v>
      </c>
      <c r="BO42" s="5">
        <f t="shared" si="71"/>
        <v>0.79827422513074286</v>
      </c>
      <c r="BP42" s="5">
        <f t="shared" si="72"/>
        <v>0.31254747242919173</v>
      </c>
      <c r="BQ42" s="4">
        <f t="shared" si="37"/>
        <v>2.22164339506562</v>
      </c>
      <c r="BR42" s="5">
        <f t="shared" si="73"/>
        <v>0.13700014404463348</v>
      </c>
      <c r="BS42">
        <f t="shared" si="74"/>
        <v>6.4725503468633425</v>
      </c>
      <c r="BT42">
        <f t="shared" si="75"/>
        <v>6.1705297124900067</v>
      </c>
      <c r="BU42">
        <f t="shared" si="38"/>
        <v>5.6742761217325999</v>
      </c>
      <c r="BV42">
        <f t="shared" si="39"/>
        <v>1.7861175301346641</v>
      </c>
      <c r="BW42">
        <f t="shared" si="40"/>
        <v>0.30202063437333576</v>
      </c>
      <c r="BX42" s="4">
        <f t="shared" si="41"/>
        <v>4.1762763290159999</v>
      </c>
      <c r="BY42">
        <f t="shared" si="42"/>
        <v>0.14082603683043216</v>
      </c>
      <c r="BZ42">
        <f t="shared" si="43"/>
        <v>26.484166315507569</v>
      </c>
      <c r="CA42">
        <f t="shared" si="44"/>
        <v>24.698048785372904</v>
      </c>
    </row>
    <row r="43" spans="1:79" x14ac:dyDescent="0.25">
      <c r="A43">
        <v>7</v>
      </c>
      <c r="B43">
        <v>1.54143585092054E-3</v>
      </c>
      <c r="C43">
        <v>1.54143585092054E-3</v>
      </c>
      <c r="D43">
        <v>3.4254130020456501E-4</v>
      </c>
      <c r="E43">
        <v>0</v>
      </c>
      <c r="F43">
        <v>0</v>
      </c>
      <c r="G43">
        <v>0</v>
      </c>
      <c r="H43" s="5">
        <v>1.7744466230058299E-5</v>
      </c>
      <c r="I43" s="5">
        <v>1.2927742824924801E-8</v>
      </c>
      <c r="J43">
        <v>3.3739048286900598E-4</v>
      </c>
      <c r="K43">
        <v>0.13716795306346499</v>
      </c>
      <c r="L43">
        <v>0.138764207307677</v>
      </c>
      <c r="M43">
        <v>4.6369433969460899E-4</v>
      </c>
      <c r="N43" t="s">
        <v>52</v>
      </c>
      <c r="O43">
        <v>0.1</v>
      </c>
      <c r="P43">
        <v>5</v>
      </c>
      <c r="Q43">
        <v>1.64967327652189E-3</v>
      </c>
      <c r="R43">
        <v>1.66887089455438E-3</v>
      </c>
      <c r="S43">
        <v>5.5766973522943398E-6</v>
      </c>
      <c r="T43">
        <v>0</v>
      </c>
      <c r="U43">
        <v>0</v>
      </c>
      <c r="V43">
        <v>0</v>
      </c>
      <c r="W43">
        <v>1.6103462731678301E-3</v>
      </c>
      <c r="X43">
        <v>7.9217310821158102E-5</v>
      </c>
      <c r="Y43">
        <v>5.5377562230767902E-6</v>
      </c>
      <c r="Z43">
        <v>1.8120934755895301E-3</v>
      </c>
      <c r="AA43">
        <v>7.3247403612026599E-2</v>
      </c>
      <c r="AB43">
        <v>1.7943133259324499E-6</v>
      </c>
      <c r="AC43">
        <v>0.1</v>
      </c>
      <c r="AD43">
        <v>100</v>
      </c>
      <c r="AE43">
        <v>11.1082169753281</v>
      </c>
      <c r="AF43">
        <v>92.363221637625401</v>
      </c>
      <c r="AG43">
        <v>20.0451509597636</v>
      </c>
      <c r="AH43">
        <f t="shared" si="46"/>
        <v>1.11082169753281</v>
      </c>
      <c r="AI43">
        <f t="shared" si="29"/>
        <v>2.0045150959763602</v>
      </c>
      <c r="AJ43">
        <f t="shared" si="30"/>
        <v>1.11082169753281</v>
      </c>
      <c r="AK43">
        <f t="shared" si="45"/>
        <v>2.0045150959763602</v>
      </c>
      <c r="AL43">
        <f t="shared" si="47"/>
        <v>0.61456810677540286</v>
      </c>
      <c r="AM43">
        <f t="shared" si="31"/>
        <v>0.49625359075740716</v>
      </c>
      <c r="AN43">
        <f t="shared" si="32"/>
        <v>0.61456810677540286</v>
      </c>
      <c r="AO43" s="5">
        <f t="shared" si="48"/>
        <v>1.7744466230058299E-3</v>
      </c>
      <c r="AP43" s="5">
        <f t="shared" si="49"/>
        <v>1.29277428249248E-6</v>
      </c>
      <c r="AQ43" s="5">
        <f t="shared" si="50"/>
        <v>3.3739048286900594E-2</v>
      </c>
      <c r="AR43">
        <f t="shared" si="51"/>
        <v>10</v>
      </c>
      <c r="AS43" s="5">
        <f t="shared" si="52"/>
        <v>0.154143585092054</v>
      </c>
      <c r="AT43" s="8">
        <f t="shared" si="53"/>
        <v>0.154143585092054</v>
      </c>
      <c r="AU43" s="5">
        <f t="shared" si="54"/>
        <v>3.4254130020456498E-2</v>
      </c>
      <c r="AV43" s="5">
        <f t="shared" si="55"/>
        <v>0.15236913846904818</v>
      </c>
      <c r="AW43" s="8">
        <f t="shared" si="56"/>
        <v>0.15414229231777152</v>
      </c>
      <c r="AX43" s="5">
        <f t="shared" si="57"/>
        <v>5.1508173355590409E-4</v>
      </c>
      <c r="AY43" s="5">
        <f t="shared" si="58"/>
        <v>0.14873676974192435</v>
      </c>
      <c r="AZ43">
        <f t="shared" si="59"/>
        <v>7.3167660369112871E-3</v>
      </c>
      <c r="BA43">
        <f t="shared" si="60"/>
        <v>5.1148500540718089E-4</v>
      </c>
      <c r="BB43" s="5">
        <f t="shared" si="61"/>
        <v>94.999999998015952</v>
      </c>
      <c r="BC43" s="5">
        <f t="shared" si="62"/>
        <v>0.15656502078424281</v>
      </c>
      <c r="BD43" s="5">
        <f t="shared" si="63"/>
        <v>0.30555753302887073</v>
      </c>
      <c r="BE43" s="16">
        <f t="shared" si="64"/>
        <v>0.31364152657389283</v>
      </c>
      <c r="BF43">
        <f t="shared" si="65"/>
        <v>3.6323687271394831E-3</v>
      </c>
      <c r="BG43">
        <f t="shared" si="66"/>
        <v>0.14682552628138068</v>
      </c>
      <c r="BH43">
        <f t="shared" si="67"/>
        <v>3.5967281487431472E-6</v>
      </c>
      <c r="BI43">
        <f t="shared" si="68"/>
        <v>0.30092658020148655</v>
      </c>
      <c r="BJ43">
        <f t="shared" si="69"/>
        <v>1.7035885157748738</v>
      </c>
      <c r="BK43">
        <f t="shared" si="70"/>
        <v>0.30092658020148655</v>
      </c>
      <c r="BL43">
        <f t="shared" si="34"/>
        <v>0.79718017095889371</v>
      </c>
      <c r="BM43">
        <f t="shared" si="35"/>
        <v>0.15409565882788276</v>
      </c>
      <c r="BN43">
        <f t="shared" si="36"/>
        <v>0.30092658020148655</v>
      </c>
      <c r="BO43" s="5">
        <f t="shared" si="71"/>
        <v>0.79718017095889371</v>
      </c>
      <c r="BP43" s="5">
        <f t="shared" si="72"/>
        <v>0.31364152657389283</v>
      </c>
      <c r="BQ43" s="4">
        <f t="shared" si="37"/>
        <v>2.22164339506562</v>
      </c>
      <c r="BR43" s="5">
        <f t="shared" si="73"/>
        <v>0.1374203782746008</v>
      </c>
      <c r="BS43">
        <f t="shared" si="74"/>
        <v>6.4439135000381844</v>
      </c>
      <c r="BT43">
        <f t="shared" si="75"/>
        <v>6.142986919836698</v>
      </c>
      <c r="BU43">
        <f t="shared" si="38"/>
        <v>5.6467333290792912</v>
      </c>
      <c r="BV43">
        <f t="shared" si="39"/>
        <v>1.7035885157748738</v>
      </c>
      <c r="BW43">
        <f t="shared" si="40"/>
        <v>0.30092658020148655</v>
      </c>
      <c r="BX43" s="4">
        <f t="shared" si="41"/>
        <v>4.0090301919527205</v>
      </c>
      <c r="BY43">
        <f t="shared" si="42"/>
        <v>0.13995775472544303</v>
      </c>
      <c r="BZ43">
        <f t="shared" si="43"/>
        <v>24.399283225868331</v>
      </c>
      <c r="CA43">
        <f t="shared" si="44"/>
        <v>22.695694710093456</v>
      </c>
    </row>
    <row r="44" spans="1:79" x14ac:dyDescent="0.25">
      <c r="A44">
        <v>7</v>
      </c>
      <c r="B44">
        <v>1.54143585092054E-3</v>
      </c>
      <c r="C44">
        <v>1.54143585092054E-3</v>
      </c>
      <c r="D44">
        <v>3.4254130020456501E-4</v>
      </c>
      <c r="E44">
        <v>0</v>
      </c>
      <c r="F44">
        <v>0</v>
      </c>
      <c r="G44">
        <v>0</v>
      </c>
      <c r="H44" s="5">
        <v>1.7744466230058299E-5</v>
      </c>
      <c r="I44" s="5">
        <v>1.2927742824924801E-8</v>
      </c>
      <c r="J44">
        <v>3.3739048286900598E-4</v>
      </c>
      <c r="K44">
        <v>0.13716795306346499</v>
      </c>
      <c r="L44">
        <v>0.138764207307677</v>
      </c>
      <c r="M44">
        <v>4.6369433969460899E-4</v>
      </c>
      <c r="N44" t="s">
        <v>52</v>
      </c>
      <c r="O44">
        <v>0.1</v>
      </c>
      <c r="P44">
        <v>6</v>
      </c>
      <c r="Q44">
        <v>1.64967327652189E-3</v>
      </c>
      <c r="R44">
        <v>1.66887089455438E-3</v>
      </c>
      <c r="S44">
        <v>5.5766973522943398E-6</v>
      </c>
      <c r="T44">
        <v>0</v>
      </c>
      <c r="U44">
        <v>0</v>
      </c>
      <c r="V44">
        <v>0</v>
      </c>
      <c r="W44">
        <v>1.6120355192372701E-3</v>
      </c>
      <c r="X44">
        <v>7.9304611498975396E-5</v>
      </c>
      <c r="Y44">
        <v>5.5393634244761098E-6</v>
      </c>
      <c r="Z44">
        <v>1.7562637605677701E-3</v>
      </c>
      <c r="AA44">
        <v>7.4172795069579203E-2</v>
      </c>
      <c r="AB44">
        <v>1.7420863833882601E-6</v>
      </c>
      <c r="AC44">
        <v>0.1</v>
      </c>
      <c r="AD44">
        <v>100</v>
      </c>
      <c r="AE44">
        <v>11.1082169753281</v>
      </c>
      <c r="AF44">
        <v>92.363221637625401</v>
      </c>
      <c r="AG44">
        <v>19.793977397216402</v>
      </c>
      <c r="AH44">
        <f t="shared" si="46"/>
        <v>1.11082169753281</v>
      </c>
      <c r="AI44">
        <f t="shared" si="29"/>
        <v>1.9793977397216402</v>
      </c>
      <c r="AJ44">
        <f t="shared" si="30"/>
        <v>1.11082169753281</v>
      </c>
      <c r="AK44">
        <f t="shared" si="45"/>
        <v>1.9793977397216402</v>
      </c>
      <c r="AL44">
        <f t="shared" si="47"/>
        <v>0.61456810677540286</v>
      </c>
      <c r="AM44">
        <f t="shared" si="31"/>
        <v>0.49625359075740716</v>
      </c>
      <c r="AN44">
        <f t="shared" si="32"/>
        <v>0.61456810677540286</v>
      </c>
      <c r="AO44" s="5">
        <f t="shared" si="48"/>
        <v>1.7744466230058299E-3</v>
      </c>
      <c r="AP44" s="5">
        <f t="shared" si="49"/>
        <v>1.29277428249248E-6</v>
      </c>
      <c r="AQ44" s="5">
        <f t="shared" si="50"/>
        <v>3.3739048286900594E-2</v>
      </c>
      <c r="AR44">
        <f t="shared" si="51"/>
        <v>10</v>
      </c>
      <c r="AS44" s="5">
        <f t="shared" si="52"/>
        <v>0.154143585092054</v>
      </c>
      <c r="AT44" s="8">
        <f t="shared" si="53"/>
        <v>0.154143585092054</v>
      </c>
      <c r="AU44" s="5">
        <f t="shared" si="54"/>
        <v>3.4254130020456498E-2</v>
      </c>
      <c r="AV44" s="5">
        <f t="shared" si="55"/>
        <v>0.15236913846904818</v>
      </c>
      <c r="AW44" s="8">
        <f t="shared" si="56"/>
        <v>0.15414229231777152</v>
      </c>
      <c r="AX44" s="5">
        <f t="shared" si="57"/>
        <v>5.1508173355590409E-4</v>
      </c>
      <c r="AY44" s="5">
        <f t="shared" si="58"/>
        <v>0.14889279395103652</v>
      </c>
      <c r="AZ44">
        <f t="shared" si="59"/>
        <v>7.3248294087656408E-3</v>
      </c>
      <c r="BA44">
        <f t="shared" si="60"/>
        <v>5.1163345170624256E-4</v>
      </c>
      <c r="BB44" s="5">
        <f t="shared" si="61"/>
        <v>94.999999987305202</v>
      </c>
      <c r="BC44" s="5">
        <f t="shared" si="62"/>
        <v>0.1567292568115084</v>
      </c>
      <c r="BD44" s="5">
        <f t="shared" si="63"/>
        <v>0.30587786748839807</v>
      </c>
      <c r="BE44" s="16">
        <f t="shared" si="64"/>
        <v>0.31397014707472304</v>
      </c>
      <c r="BF44">
        <f t="shared" si="65"/>
        <v>3.4763445180228721E-3</v>
      </c>
      <c r="BG44">
        <f t="shared" si="66"/>
        <v>0.14681746290956149</v>
      </c>
      <c r="BH44">
        <f t="shared" si="67"/>
        <v>3.4482818496785689E-6</v>
      </c>
      <c r="BI44">
        <f t="shared" si="68"/>
        <v>0.30059795970071773</v>
      </c>
      <c r="BJ44">
        <f t="shared" si="69"/>
        <v>1.6787997800209224</v>
      </c>
      <c r="BK44">
        <f t="shared" si="70"/>
        <v>0.30059795970071773</v>
      </c>
      <c r="BL44">
        <f t="shared" si="34"/>
        <v>0.79685155045812484</v>
      </c>
      <c r="BM44">
        <f t="shared" si="35"/>
        <v>0.15377532436838173</v>
      </c>
      <c r="BN44">
        <f t="shared" si="36"/>
        <v>0.30059795970071773</v>
      </c>
      <c r="BO44" s="5">
        <f t="shared" si="71"/>
        <v>0.79685155045812484</v>
      </c>
      <c r="BP44" s="5">
        <f t="shared" si="72"/>
        <v>0.31397014707472304</v>
      </c>
      <c r="BQ44" s="4">
        <f t="shared" si="37"/>
        <v>2.22164339506562</v>
      </c>
      <c r="BR44" s="5">
        <f t="shared" si="73"/>
        <v>0.13754653299957262</v>
      </c>
      <c r="BS44">
        <f t="shared" si="74"/>
        <v>6.4353493516575675</v>
      </c>
      <c r="BT44">
        <f t="shared" si="75"/>
        <v>6.1347513919568497</v>
      </c>
      <c r="BU44">
        <f t="shared" si="38"/>
        <v>5.6384978011994429</v>
      </c>
      <c r="BV44">
        <f t="shared" si="39"/>
        <v>1.6787997800209224</v>
      </c>
      <c r="BW44">
        <f t="shared" si="40"/>
        <v>0.30059795970071773</v>
      </c>
      <c r="BX44" s="4">
        <f t="shared" si="41"/>
        <v>3.9587954794432805</v>
      </c>
      <c r="BY44">
        <f t="shared" si="42"/>
        <v>0.13969193747833589</v>
      </c>
      <c r="BZ44">
        <f t="shared" si="43"/>
        <v>23.788148049231186</v>
      </c>
      <c r="CA44">
        <f t="shared" si="44"/>
        <v>22.109348269210262</v>
      </c>
    </row>
    <row r="45" spans="1:79" x14ac:dyDescent="0.25">
      <c r="A45">
        <v>7</v>
      </c>
      <c r="B45">
        <v>1.54143585092054E-3</v>
      </c>
      <c r="C45">
        <v>1.54143585092054E-3</v>
      </c>
      <c r="D45">
        <v>3.4254130020456501E-4</v>
      </c>
      <c r="E45">
        <v>0</v>
      </c>
      <c r="F45">
        <v>0</v>
      </c>
      <c r="G45">
        <v>0</v>
      </c>
      <c r="H45" s="5">
        <v>1.7744466230058299E-5</v>
      </c>
      <c r="I45" s="5">
        <v>1.2927742824924801E-8</v>
      </c>
      <c r="J45">
        <v>3.3739048286900598E-4</v>
      </c>
      <c r="K45">
        <v>0.13716795306346499</v>
      </c>
      <c r="L45">
        <v>0.138764207307677</v>
      </c>
      <c r="M45">
        <v>4.6369433969460899E-4</v>
      </c>
      <c r="N45" t="s">
        <v>52</v>
      </c>
      <c r="O45">
        <v>0.1</v>
      </c>
      <c r="P45">
        <v>7</v>
      </c>
      <c r="Q45">
        <v>1.64967327652189E-3</v>
      </c>
      <c r="R45">
        <v>1.66887089455438E-3</v>
      </c>
      <c r="S45">
        <v>5.5766973522943398E-6</v>
      </c>
      <c r="T45">
        <v>0</v>
      </c>
      <c r="U45">
        <v>0</v>
      </c>
      <c r="V45">
        <v>0</v>
      </c>
      <c r="W45">
        <v>1.6125268282720601E-3</v>
      </c>
      <c r="X45">
        <v>7.9330002196474706E-5</v>
      </c>
      <c r="Y45">
        <v>5.5398308704750104E-6</v>
      </c>
      <c r="Z45">
        <v>1.7397589915908601E-3</v>
      </c>
      <c r="AA45">
        <v>7.4446365407150494E-2</v>
      </c>
      <c r="AB45">
        <v>1.7266467254719899E-6</v>
      </c>
      <c r="AC45">
        <v>0.1</v>
      </c>
      <c r="AD45">
        <v>100</v>
      </c>
      <c r="AE45">
        <v>11.1082169753281</v>
      </c>
      <c r="AF45">
        <v>92.363221637625401</v>
      </c>
      <c r="AG45">
        <v>19.7209248484066</v>
      </c>
      <c r="AH45">
        <f t="shared" si="46"/>
        <v>1.11082169753281</v>
      </c>
      <c r="AI45">
        <f t="shared" si="29"/>
        <v>1.97209248484066</v>
      </c>
      <c r="AJ45">
        <f t="shared" si="30"/>
        <v>1.11082169753281</v>
      </c>
      <c r="AK45">
        <f t="shared" si="45"/>
        <v>1.97209248484066</v>
      </c>
      <c r="AL45">
        <f t="shared" si="47"/>
        <v>0.61456810677540286</v>
      </c>
      <c r="AM45">
        <f t="shared" si="31"/>
        <v>0.49625359075740716</v>
      </c>
      <c r="AN45">
        <f t="shared" si="32"/>
        <v>0.61456810677540286</v>
      </c>
      <c r="AO45" s="5">
        <f t="shared" si="48"/>
        <v>1.7744466230058299E-3</v>
      </c>
      <c r="AP45" s="5">
        <f t="shared" si="49"/>
        <v>1.29277428249248E-6</v>
      </c>
      <c r="AQ45" s="5">
        <f t="shared" si="50"/>
        <v>3.3739048286900594E-2</v>
      </c>
      <c r="AR45">
        <f t="shared" si="51"/>
        <v>10</v>
      </c>
      <c r="AS45" s="5">
        <f t="shared" si="52"/>
        <v>0.154143585092054</v>
      </c>
      <c r="AT45" s="8">
        <f t="shared" si="53"/>
        <v>0.154143585092054</v>
      </c>
      <c r="AU45" s="5">
        <f t="shared" si="54"/>
        <v>3.4254130020456498E-2</v>
      </c>
      <c r="AV45" s="5">
        <f t="shared" si="55"/>
        <v>0.15236913846904818</v>
      </c>
      <c r="AW45" s="8">
        <f t="shared" si="56"/>
        <v>0.15414229231777152</v>
      </c>
      <c r="AX45" s="5">
        <f t="shared" si="57"/>
        <v>5.1508173355590409E-4</v>
      </c>
      <c r="AY45" s="5">
        <f t="shared" si="58"/>
        <v>0.14893817283630939</v>
      </c>
      <c r="AZ45">
        <f t="shared" si="59"/>
        <v>7.3271745753863034E-3</v>
      </c>
      <c r="BA45">
        <f t="shared" si="60"/>
        <v>5.1167662652464268E-4</v>
      </c>
      <c r="BB45" s="5">
        <f t="shared" si="61"/>
        <v>95.000000000000028</v>
      </c>
      <c r="BC45" s="5">
        <f t="shared" si="62"/>
        <v>0.15677702403822036</v>
      </c>
      <c r="BD45" s="5">
        <f t="shared" si="63"/>
        <v>0.30597103518779201</v>
      </c>
      <c r="BE45" s="16">
        <f t="shared" si="64"/>
        <v>0.31406572470296534</v>
      </c>
      <c r="BF45">
        <f t="shared" si="65"/>
        <v>3.4309656327503003E-3</v>
      </c>
      <c r="BG45">
        <f t="shared" si="66"/>
        <v>0.14681511774314318</v>
      </c>
      <c r="BH45">
        <f t="shared" si="67"/>
        <v>3.4051070312780458E-6</v>
      </c>
      <c r="BI45">
        <f t="shared" si="68"/>
        <v>0.30050238207288082</v>
      </c>
      <c r="BJ45">
        <f t="shared" si="69"/>
        <v>1.6715901027677793</v>
      </c>
      <c r="BK45">
        <f t="shared" si="70"/>
        <v>0.30050238207288082</v>
      </c>
      <c r="BL45">
        <f t="shared" si="34"/>
        <v>0.79675597283028798</v>
      </c>
      <c r="BM45">
        <f t="shared" si="35"/>
        <v>0.15368215666919072</v>
      </c>
      <c r="BN45">
        <f t="shared" si="36"/>
        <v>0.30050238207288082</v>
      </c>
      <c r="BO45" s="5">
        <f t="shared" si="71"/>
        <v>0.79675597283028798</v>
      </c>
      <c r="BP45" s="5">
        <f t="shared" si="72"/>
        <v>0.31406572470296534</v>
      </c>
      <c r="BQ45" s="4">
        <f t="shared" si="37"/>
        <v>2.22164339506562</v>
      </c>
      <c r="BR45" s="5">
        <f t="shared" si="73"/>
        <v>0.13758321833194295</v>
      </c>
      <c r="BS45">
        <f t="shared" si="74"/>
        <v>6.4328617471602003</v>
      </c>
      <c r="BT45">
        <f t="shared" si="75"/>
        <v>6.1323593650873196</v>
      </c>
      <c r="BU45">
        <f t="shared" si="38"/>
        <v>5.6361057743299128</v>
      </c>
      <c r="BV45">
        <f t="shared" si="39"/>
        <v>1.6715901027677793</v>
      </c>
      <c r="BW45">
        <f t="shared" si="40"/>
        <v>0.30050238207288082</v>
      </c>
      <c r="BX45" s="4">
        <f t="shared" si="41"/>
        <v>3.94418496968132</v>
      </c>
      <c r="BY45">
        <f t="shared" si="42"/>
        <v>0.13961416713476757</v>
      </c>
      <c r="BZ45">
        <f t="shared" si="43"/>
        <v>23.611717543107716</v>
      </c>
      <c r="CA45">
        <f t="shared" si="44"/>
        <v>21.940127440339936</v>
      </c>
    </row>
    <row r="46" spans="1:79" x14ac:dyDescent="0.25">
      <c r="A46">
        <v>7</v>
      </c>
      <c r="B46">
        <v>1.54143585092054E-3</v>
      </c>
      <c r="C46">
        <v>1.54143585092054E-3</v>
      </c>
      <c r="D46">
        <v>3.4254130020456501E-4</v>
      </c>
      <c r="E46">
        <v>0</v>
      </c>
      <c r="F46">
        <v>0</v>
      </c>
      <c r="G46">
        <v>0</v>
      </c>
      <c r="H46" s="5">
        <v>1.7744466230058299E-5</v>
      </c>
      <c r="I46" s="5">
        <v>1.2927742824924801E-8</v>
      </c>
      <c r="J46">
        <v>3.3739048286900598E-4</v>
      </c>
      <c r="K46">
        <v>0.13716795306346499</v>
      </c>
      <c r="L46">
        <v>0.138764207307677</v>
      </c>
      <c r="M46">
        <v>4.6369433969460899E-4</v>
      </c>
      <c r="N46" t="s">
        <v>52</v>
      </c>
      <c r="O46">
        <v>0.1</v>
      </c>
      <c r="P46">
        <v>8</v>
      </c>
      <c r="Q46">
        <v>1.64967327652189E-3</v>
      </c>
      <c r="R46">
        <v>1.66887089455438E-3</v>
      </c>
      <c r="S46">
        <v>5.5766973522943398E-6</v>
      </c>
      <c r="T46">
        <v>0</v>
      </c>
      <c r="U46">
        <v>0</v>
      </c>
      <c r="V46">
        <v>0</v>
      </c>
      <c r="W46">
        <v>1.6126668855832699E-3</v>
      </c>
      <c r="X46">
        <v>7.9337240379229206E-5</v>
      </c>
      <c r="Y46">
        <v>5.5399641251523699E-6</v>
      </c>
      <c r="Z46">
        <v>1.7350315599837401E-3</v>
      </c>
      <c r="AA46">
        <v>7.4524723667687906E-2</v>
      </c>
      <c r="AB46">
        <v>1.7222243722089301E-6</v>
      </c>
      <c r="AC46">
        <v>0.1</v>
      </c>
      <c r="AD46">
        <v>100</v>
      </c>
      <c r="AE46">
        <v>11.1082169753281</v>
      </c>
      <c r="AF46">
        <v>92.363221637625401</v>
      </c>
      <c r="AG46">
        <v>19.700099793756003</v>
      </c>
      <c r="AH46">
        <f t="shared" si="46"/>
        <v>1.11082169753281</v>
      </c>
      <c r="AI46">
        <f t="shared" si="29"/>
        <v>1.9700099793756003</v>
      </c>
      <c r="AJ46">
        <f t="shared" si="30"/>
        <v>1.11082169753281</v>
      </c>
      <c r="AK46">
        <f t="shared" si="45"/>
        <v>1.9700099793756003</v>
      </c>
      <c r="AL46">
        <f t="shared" si="47"/>
        <v>0.61456810677540286</v>
      </c>
      <c r="AM46">
        <f t="shared" si="31"/>
        <v>0.49625359075740716</v>
      </c>
      <c r="AN46">
        <f t="shared" si="32"/>
        <v>0.61456810677540286</v>
      </c>
      <c r="AO46" s="5">
        <f t="shared" si="48"/>
        <v>1.7744466230058299E-3</v>
      </c>
      <c r="AP46" s="5">
        <f t="shared" si="49"/>
        <v>1.29277428249248E-6</v>
      </c>
      <c r="AQ46" s="5">
        <f t="shared" si="50"/>
        <v>3.3739048286900594E-2</v>
      </c>
      <c r="AR46">
        <f t="shared" si="51"/>
        <v>10</v>
      </c>
      <c r="AS46" s="5">
        <f t="shared" si="52"/>
        <v>0.154143585092054</v>
      </c>
      <c r="AT46" s="8">
        <f t="shared" si="53"/>
        <v>0.154143585092054</v>
      </c>
      <c r="AU46" s="5">
        <f t="shared" si="54"/>
        <v>3.4254130020456498E-2</v>
      </c>
      <c r="AV46" s="5">
        <f t="shared" si="55"/>
        <v>0.15236913846904818</v>
      </c>
      <c r="AW46" s="8">
        <f t="shared" si="56"/>
        <v>0.15414229231777152</v>
      </c>
      <c r="AX46" s="5">
        <f t="shared" si="57"/>
        <v>5.1508173355590409E-4</v>
      </c>
      <c r="AY46" s="5">
        <f t="shared" si="58"/>
        <v>0.14895110898078665</v>
      </c>
      <c r="AZ46">
        <f t="shared" si="59"/>
        <v>7.3278431172643108E-3</v>
      </c>
      <c r="BA46">
        <f t="shared" si="60"/>
        <v>5.1168893435594184E-4</v>
      </c>
      <c r="BB46" s="5">
        <f t="shared" si="61"/>
        <v>95.000000000000057</v>
      </c>
      <c r="BC46" s="5">
        <f t="shared" si="62"/>
        <v>0.15679064103240689</v>
      </c>
      <c r="BD46" s="5">
        <f t="shared" si="63"/>
        <v>0.3059975944803715</v>
      </c>
      <c r="BE46" s="16">
        <f t="shared" si="64"/>
        <v>0.31409297099916972</v>
      </c>
      <c r="BF46">
        <f t="shared" si="65"/>
        <v>3.4180294876995834E-3</v>
      </c>
      <c r="BG46">
        <f t="shared" si="66"/>
        <v>0.14681444933555415</v>
      </c>
      <c r="BH46">
        <f t="shared" si="67"/>
        <v>3.3927991999754704E-6</v>
      </c>
      <c r="BI46">
        <f t="shared" si="68"/>
        <v>0.30047513604410742</v>
      </c>
      <c r="BJ46">
        <f t="shared" si="69"/>
        <v>1.6695348433314929</v>
      </c>
      <c r="BK46">
        <f t="shared" si="70"/>
        <v>0.30047513604410742</v>
      </c>
      <c r="BL46">
        <f t="shared" si="34"/>
        <v>0.79672872680151463</v>
      </c>
      <c r="BM46">
        <f t="shared" si="35"/>
        <v>0.15365559750975327</v>
      </c>
      <c r="BN46">
        <f t="shared" si="36"/>
        <v>0.30047513604410742</v>
      </c>
      <c r="BO46" s="5">
        <f t="shared" si="71"/>
        <v>0.79672872680151463</v>
      </c>
      <c r="BP46" s="5">
        <f t="shared" si="72"/>
        <v>0.31409297099916972</v>
      </c>
      <c r="BQ46" s="4">
        <f t="shared" si="37"/>
        <v>2.22164339506562</v>
      </c>
      <c r="BR46" s="5">
        <f t="shared" si="73"/>
        <v>0.13759367570607564</v>
      </c>
      <c r="BS46">
        <f t="shared" si="74"/>
        <v>6.4321528750302397</v>
      </c>
      <c r="BT46">
        <f t="shared" si="75"/>
        <v>6.1316777389861326</v>
      </c>
      <c r="BU46">
        <f t="shared" si="38"/>
        <v>5.6354241482287257</v>
      </c>
      <c r="BV46">
        <f t="shared" si="39"/>
        <v>1.6695348433314929</v>
      </c>
      <c r="BW46">
        <f t="shared" si="40"/>
        <v>0.30047513604410742</v>
      </c>
      <c r="BX46" s="4">
        <f t="shared" si="41"/>
        <v>3.9400199587512006</v>
      </c>
      <c r="BY46">
        <f t="shared" si="42"/>
        <v>0.13959195879926048</v>
      </c>
      <c r="BZ46">
        <f t="shared" si="43"/>
        <v>23.561531269921151</v>
      </c>
      <c r="CA46">
        <f t="shared" si="44"/>
        <v>21.891996426589657</v>
      </c>
    </row>
    <row r="47" spans="1:79" x14ac:dyDescent="0.25">
      <c r="A47">
        <v>7</v>
      </c>
      <c r="B47">
        <v>1.54143585092054E-3</v>
      </c>
      <c r="C47">
        <v>1.54143585092054E-3</v>
      </c>
      <c r="D47">
        <v>3.4254130020456501E-4</v>
      </c>
      <c r="E47">
        <v>0</v>
      </c>
      <c r="F47">
        <v>0</v>
      </c>
      <c r="G47">
        <v>0</v>
      </c>
      <c r="H47" s="5">
        <v>1.7744466230058299E-5</v>
      </c>
      <c r="I47" s="5">
        <v>1.2927742824924801E-8</v>
      </c>
      <c r="J47">
        <v>3.3739048286900598E-4</v>
      </c>
      <c r="K47">
        <v>0.13716795306346499</v>
      </c>
      <c r="L47">
        <v>0.138764207307677</v>
      </c>
      <c r="M47">
        <v>4.6369433969460899E-4</v>
      </c>
      <c r="N47" t="s">
        <v>52</v>
      </c>
      <c r="O47">
        <v>0.1</v>
      </c>
      <c r="P47">
        <v>9</v>
      </c>
      <c r="Q47">
        <v>1.64967327652189E-3</v>
      </c>
      <c r="R47">
        <v>1.66887089455438E-3</v>
      </c>
      <c r="S47">
        <v>5.5766973522943398E-6</v>
      </c>
      <c r="T47">
        <v>0</v>
      </c>
      <c r="U47">
        <v>0</v>
      </c>
      <c r="V47">
        <v>0</v>
      </c>
      <c r="W47">
        <v>1.6127064588001699E-3</v>
      </c>
      <c r="X47">
        <v>7.9339285496144799E-5</v>
      </c>
      <c r="Y47">
        <v>5.5400017762774897E-6</v>
      </c>
      <c r="Z47">
        <v>1.7336940135680801E-3</v>
      </c>
      <c r="AA47">
        <v>7.4546893805151004E-2</v>
      </c>
      <c r="AB47">
        <v>1.7209731425580199E-6</v>
      </c>
      <c r="AC47">
        <v>0.1</v>
      </c>
      <c r="AD47">
        <v>100</v>
      </c>
      <c r="AE47">
        <v>11.1082169753281</v>
      </c>
      <c r="AF47">
        <v>92.363221637625401</v>
      </c>
      <c r="AG47">
        <v>19.6942156559561</v>
      </c>
      <c r="AH47">
        <f t="shared" si="46"/>
        <v>1.11082169753281</v>
      </c>
      <c r="AI47">
        <f t="shared" si="29"/>
        <v>1.96942156559561</v>
      </c>
      <c r="AJ47">
        <f t="shared" si="30"/>
        <v>1.11082169753281</v>
      </c>
      <c r="AK47">
        <f t="shared" si="45"/>
        <v>1.96942156559561</v>
      </c>
      <c r="AL47">
        <f t="shared" si="47"/>
        <v>0.61456810677540286</v>
      </c>
      <c r="AM47">
        <f t="shared" si="31"/>
        <v>0.49625359075740716</v>
      </c>
      <c r="AN47">
        <f t="shared" si="32"/>
        <v>0.61456810677540286</v>
      </c>
      <c r="AO47" s="5">
        <f t="shared" si="48"/>
        <v>1.7744466230058299E-3</v>
      </c>
      <c r="AP47" s="5">
        <f t="shared" si="49"/>
        <v>1.29277428249248E-6</v>
      </c>
      <c r="AQ47" s="5">
        <f t="shared" si="50"/>
        <v>3.3739048286900594E-2</v>
      </c>
      <c r="AR47">
        <f t="shared" si="51"/>
        <v>10</v>
      </c>
      <c r="AS47" s="5">
        <f t="shared" si="52"/>
        <v>0.154143585092054</v>
      </c>
      <c r="AT47" s="8">
        <f t="shared" si="53"/>
        <v>0.154143585092054</v>
      </c>
      <c r="AU47" s="5">
        <f t="shared" si="54"/>
        <v>3.4254130020456498E-2</v>
      </c>
      <c r="AV47" s="5">
        <f t="shared" si="55"/>
        <v>0.15236913846904818</v>
      </c>
      <c r="AW47" s="8">
        <f t="shared" si="56"/>
        <v>0.15414229231777152</v>
      </c>
      <c r="AX47" s="5">
        <f t="shared" si="57"/>
        <v>5.1508173355590409E-4</v>
      </c>
      <c r="AY47" s="5">
        <f t="shared" si="58"/>
        <v>0.14895476409059008</v>
      </c>
      <c r="AZ47">
        <f t="shared" si="59"/>
        <v>7.3280320108512608E-3</v>
      </c>
      <c r="BA47">
        <f t="shared" si="60"/>
        <v>5.1169241193515624E-4</v>
      </c>
      <c r="BB47" s="5">
        <f t="shared" si="61"/>
        <v>95.00000000183833</v>
      </c>
      <c r="BC47" s="5">
        <f t="shared" si="62"/>
        <v>0.15679448851337649</v>
      </c>
      <c r="BD47" s="5">
        <f t="shared" si="63"/>
        <v>0.30600509880993415</v>
      </c>
      <c r="BE47" s="16">
        <f t="shared" si="64"/>
        <v>0.31410066943868814</v>
      </c>
      <c r="BF47">
        <f t="shared" si="65"/>
        <v>3.414374378464985E-3</v>
      </c>
      <c r="BG47">
        <f t="shared" si="66"/>
        <v>0.14681426030803016</v>
      </c>
      <c r="BH47">
        <f t="shared" si="67"/>
        <v>3.3893216207646124E-6</v>
      </c>
      <c r="BI47">
        <f t="shared" si="68"/>
        <v>0.30046743733785258</v>
      </c>
      <c r="BJ47">
        <f t="shared" si="69"/>
        <v>1.6689541282577574</v>
      </c>
      <c r="BK47">
        <f t="shared" si="70"/>
        <v>0.30046743733785258</v>
      </c>
      <c r="BL47">
        <f t="shared" si="34"/>
        <v>0.79672102809525969</v>
      </c>
      <c r="BM47">
        <f t="shared" si="35"/>
        <v>0.15364809304739127</v>
      </c>
      <c r="BN47">
        <f t="shared" si="36"/>
        <v>0.30046743733785258</v>
      </c>
      <c r="BO47" s="5">
        <f t="shared" si="71"/>
        <v>0.79672102809525969</v>
      </c>
      <c r="BP47" s="5">
        <f t="shared" si="72"/>
        <v>0.31410066943868814</v>
      </c>
      <c r="BQ47" s="4">
        <f t="shared" si="37"/>
        <v>2.22164339506562</v>
      </c>
      <c r="BR47" s="5">
        <f t="shared" si="73"/>
        <v>0.13759663039585229</v>
      </c>
      <c r="BS47">
        <f t="shared" si="74"/>
        <v>6.4319526019115347</v>
      </c>
      <c r="BT47">
        <f t="shared" si="75"/>
        <v>6.1314851645736823</v>
      </c>
      <c r="BU47">
        <f t="shared" si="38"/>
        <v>5.6352315738162755</v>
      </c>
      <c r="BV47">
        <f t="shared" si="39"/>
        <v>1.6689541282577574</v>
      </c>
      <c r="BW47">
        <f t="shared" si="40"/>
        <v>0.30046743733785258</v>
      </c>
      <c r="BX47" s="4">
        <f t="shared" si="41"/>
        <v>3.93884313119122</v>
      </c>
      <c r="BY47">
        <f t="shared" si="42"/>
        <v>0.13958568056921927</v>
      </c>
      <c r="BZ47">
        <f t="shared" si="43"/>
        <v>23.547359863683997</v>
      </c>
      <c r="CA47">
        <f t="shared" si="44"/>
        <v>21.878405735426242</v>
      </c>
    </row>
    <row r="48" spans="1:79" x14ac:dyDescent="0.25">
      <c r="A48">
        <v>7</v>
      </c>
      <c r="B48">
        <v>1.54143585092054E-3</v>
      </c>
      <c r="C48">
        <v>1.54143585092054E-3</v>
      </c>
      <c r="D48">
        <v>3.4254130020456501E-4</v>
      </c>
      <c r="E48">
        <v>0</v>
      </c>
      <c r="F48">
        <v>0</v>
      </c>
      <c r="G48">
        <v>0</v>
      </c>
      <c r="H48" s="5">
        <v>1.7744466230058299E-5</v>
      </c>
      <c r="I48" s="5">
        <v>1.2927742824924801E-8</v>
      </c>
      <c r="J48">
        <v>3.3739048286900598E-4</v>
      </c>
      <c r="K48">
        <v>0.13716795306346499</v>
      </c>
      <c r="L48">
        <v>0.138764207307677</v>
      </c>
      <c r="M48">
        <v>4.6369433969460899E-4</v>
      </c>
      <c r="N48" t="s">
        <v>52</v>
      </c>
      <c r="O48">
        <v>0.1</v>
      </c>
      <c r="P48">
        <v>10</v>
      </c>
      <c r="Q48">
        <v>1.64967327652189E-3</v>
      </c>
      <c r="R48">
        <v>1.66887089455438E-3</v>
      </c>
      <c r="S48">
        <v>5.5766973522943398E-6</v>
      </c>
      <c r="T48">
        <v>0</v>
      </c>
      <c r="U48">
        <v>0</v>
      </c>
      <c r="V48">
        <v>0</v>
      </c>
      <c r="W48">
        <v>1.6127176023782901E-3</v>
      </c>
      <c r="X48">
        <v>7.93398614299424E-5</v>
      </c>
      <c r="Y48">
        <v>5.5400123786141803E-6</v>
      </c>
      <c r="Z48">
        <v>1.73331722315182E-3</v>
      </c>
      <c r="AA48">
        <v>7.4553139192579998E-2</v>
      </c>
      <c r="AB48">
        <v>1.72062066779231E-6</v>
      </c>
      <c r="AC48">
        <v>0.1</v>
      </c>
      <c r="AD48">
        <v>100</v>
      </c>
      <c r="AE48">
        <v>11.1082169753281</v>
      </c>
      <c r="AF48">
        <v>92.363221637625401</v>
      </c>
      <c r="AG48">
        <v>19.692558727263098</v>
      </c>
      <c r="AH48">
        <f t="shared" si="46"/>
        <v>1.11082169753281</v>
      </c>
      <c r="AI48">
        <f t="shared" si="29"/>
        <v>1.9692558727263099</v>
      </c>
      <c r="AJ48">
        <f t="shared" si="30"/>
        <v>1.11082169753281</v>
      </c>
      <c r="AK48">
        <f t="shared" si="45"/>
        <v>1.9692558727263099</v>
      </c>
      <c r="AL48">
        <f t="shared" si="47"/>
        <v>0.61456810677540286</v>
      </c>
      <c r="AM48">
        <f t="shared" si="31"/>
        <v>0.49625359075740716</v>
      </c>
      <c r="AN48">
        <f t="shared" si="32"/>
        <v>0.61456810677540286</v>
      </c>
      <c r="AO48" s="5">
        <f t="shared" si="48"/>
        <v>1.7744466230058299E-3</v>
      </c>
      <c r="AP48" s="5">
        <f t="shared" si="49"/>
        <v>1.29277428249248E-6</v>
      </c>
      <c r="AQ48" s="5">
        <f t="shared" si="50"/>
        <v>3.3739048286900594E-2</v>
      </c>
      <c r="AR48">
        <f t="shared" si="51"/>
        <v>10</v>
      </c>
      <c r="AS48" s="5">
        <f t="shared" si="52"/>
        <v>0.154143585092054</v>
      </c>
      <c r="AT48" s="8">
        <f t="shared" si="53"/>
        <v>0.154143585092054</v>
      </c>
      <c r="AU48" s="5">
        <f t="shared" si="54"/>
        <v>3.4254130020456498E-2</v>
      </c>
      <c r="AV48" s="5">
        <f t="shared" si="55"/>
        <v>0.15236913846904818</v>
      </c>
      <c r="AW48" s="8">
        <f t="shared" si="56"/>
        <v>0.15414229231777152</v>
      </c>
      <c r="AX48" s="5">
        <f t="shared" si="57"/>
        <v>5.1508173355590409E-4</v>
      </c>
      <c r="AY48" s="5">
        <f t="shared" si="58"/>
        <v>0.14895579334736583</v>
      </c>
      <c r="AZ48">
        <f t="shared" si="59"/>
        <v>7.3280852059522568E-3</v>
      </c>
      <c r="BA48">
        <f t="shared" si="60"/>
        <v>5.1169339120112978E-4</v>
      </c>
      <c r="BB48" s="5">
        <f t="shared" si="61"/>
        <v>95.000000000046285</v>
      </c>
      <c r="BC48" s="5">
        <f t="shared" si="62"/>
        <v>0.15679557194451924</v>
      </c>
      <c r="BD48" s="5">
        <f t="shared" si="63"/>
        <v>0.30600721198748559</v>
      </c>
      <c r="BE48" s="16">
        <f t="shared" si="64"/>
        <v>0.31410283728023958</v>
      </c>
      <c r="BF48">
        <f t="shared" si="65"/>
        <v>3.4133451209893812E-3</v>
      </c>
      <c r="BG48">
        <f t="shared" si="66"/>
        <v>0.14681420718517019</v>
      </c>
      <c r="BH48">
        <f t="shared" si="67"/>
        <v>3.3883423547842715E-6</v>
      </c>
      <c r="BI48">
        <f t="shared" si="68"/>
        <v>0.30046526963938347</v>
      </c>
      <c r="BJ48">
        <f t="shared" si="69"/>
        <v>1.6687906030869264</v>
      </c>
      <c r="BK48">
        <f t="shared" si="70"/>
        <v>0.30046526963938347</v>
      </c>
      <c r="BL48">
        <f t="shared" si="34"/>
        <v>0.79671886039679063</v>
      </c>
      <c r="BM48">
        <f t="shared" si="35"/>
        <v>0.15364597994068113</v>
      </c>
      <c r="BN48">
        <f t="shared" si="36"/>
        <v>0.30046526963938347</v>
      </c>
      <c r="BO48" s="5">
        <f t="shared" si="71"/>
        <v>0.79671886039679063</v>
      </c>
      <c r="BP48" s="5">
        <f t="shared" si="72"/>
        <v>0.31410283728023958</v>
      </c>
      <c r="BQ48" s="4">
        <f t="shared" si="37"/>
        <v>2.22164339506562</v>
      </c>
      <c r="BR48" s="5">
        <f t="shared" si="73"/>
        <v>0.13759746241828127</v>
      </c>
      <c r="BS48">
        <f t="shared" si="74"/>
        <v>6.4318962094811543</v>
      </c>
      <c r="BT48">
        <f t="shared" si="75"/>
        <v>6.1314309398417706</v>
      </c>
      <c r="BU48">
        <f t="shared" si="38"/>
        <v>5.6351773490843637</v>
      </c>
      <c r="BV48">
        <f t="shared" si="39"/>
        <v>1.6687906030869264</v>
      </c>
      <c r="BW48">
        <f t="shared" si="40"/>
        <v>0.30046526963938347</v>
      </c>
      <c r="BX48" s="4">
        <f t="shared" si="41"/>
        <v>3.9385117454526197</v>
      </c>
      <c r="BY48">
        <f t="shared" si="42"/>
        <v>0.13958391250555247</v>
      </c>
      <c r="BZ48">
        <f t="shared" si="43"/>
        <v>23.543369980753951</v>
      </c>
      <c r="CA48">
        <f t="shared" si="44"/>
        <v>21.874579377667025</v>
      </c>
    </row>
    <row r="49" spans="1:79" x14ac:dyDescent="0.25">
      <c r="A49">
        <v>7</v>
      </c>
      <c r="B49">
        <v>1.54143585092054E-3</v>
      </c>
      <c r="C49">
        <v>1.54143585092054E-3</v>
      </c>
      <c r="D49">
        <v>3.4254130020456501E-4</v>
      </c>
      <c r="E49">
        <v>0</v>
      </c>
      <c r="F49">
        <v>0</v>
      </c>
      <c r="G49">
        <v>0</v>
      </c>
      <c r="H49" s="5">
        <v>1.7744466230058299E-5</v>
      </c>
      <c r="I49" s="5">
        <v>1.2927742824924801E-8</v>
      </c>
      <c r="J49">
        <v>3.3739048286900598E-4</v>
      </c>
      <c r="K49">
        <v>0.13716795306346499</v>
      </c>
      <c r="L49">
        <v>0.138764207307677</v>
      </c>
      <c r="M49">
        <v>4.6369433969460899E-4</v>
      </c>
      <c r="N49" t="s">
        <v>52</v>
      </c>
      <c r="O49">
        <v>0.1</v>
      </c>
      <c r="P49">
        <v>11</v>
      </c>
      <c r="Q49">
        <v>1.64967327652189E-3</v>
      </c>
      <c r="R49">
        <v>1.66887089455438E-3</v>
      </c>
      <c r="S49">
        <v>5.5766973522943398E-6</v>
      </c>
      <c r="T49">
        <v>0</v>
      </c>
      <c r="U49">
        <v>0</v>
      </c>
      <c r="V49">
        <v>0</v>
      </c>
      <c r="W49">
        <v>1.6127207366253499E-3</v>
      </c>
      <c r="X49">
        <v>7.9340023409112399E-5</v>
      </c>
      <c r="Y49">
        <v>5.5400153606251003E-6</v>
      </c>
      <c r="Z49">
        <v>1.7332112363545699E-3</v>
      </c>
      <c r="AA49">
        <v>7.4554895947902003E-2</v>
      </c>
      <c r="AB49">
        <v>1.7205215207154199E-6</v>
      </c>
      <c r="AC49">
        <v>0.1</v>
      </c>
      <c r="AD49">
        <v>100</v>
      </c>
      <c r="AE49">
        <v>11.1082169753281</v>
      </c>
      <c r="AF49">
        <v>92.363221637625401</v>
      </c>
      <c r="AG49">
        <v>19.6920926931768</v>
      </c>
      <c r="AH49">
        <f t="shared" si="46"/>
        <v>1.11082169753281</v>
      </c>
      <c r="AI49">
        <f t="shared" si="29"/>
        <v>1.9692092693176801</v>
      </c>
      <c r="AJ49">
        <f t="shared" si="30"/>
        <v>1.11082169753281</v>
      </c>
      <c r="AK49">
        <f t="shared" si="45"/>
        <v>1.9692092693176801</v>
      </c>
      <c r="AL49">
        <f t="shared" si="47"/>
        <v>0.61456810677540286</v>
      </c>
      <c r="AM49">
        <f t="shared" si="31"/>
        <v>0.49625359075740716</v>
      </c>
      <c r="AN49">
        <f t="shared" si="32"/>
        <v>0.61456810677540286</v>
      </c>
      <c r="AO49" s="5">
        <f t="shared" si="48"/>
        <v>1.7744466230058299E-3</v>
      </c>
      <c r="AP49" s="5">
        <f t="shared" si="49"/>
        <v>1.29277428249248E-6</v>
      </c>
      <c r="AQ49" s="5">
        <f t="shared" si="50"/>
        <v>3.3739048286900594E-2</v>
      </c>
      <c r="AR49">
        <f t="shared" si="51"/>
        <v>10</v>
      </c>
      <c r="AS49" s="5">
        <f t="shared" si="52"/>
        <v>0.154143585092054</v>
      </c>
      <c r="AT49" s="8">
        <f t="shared" si="53"/>
        <v>0.154143585092054</v>
      </c>
      <c r="AU49" s="5">
        <f t="shared" si="54"/>
        <v>3.4254130020456498E-2</v>
      </c>
      <c r="AV49" s="5">
        <f t="shared" si="55"/>
        <v>0.15236913846904818</v>
      </c>
      <c r="AW49" s="8">
        <f t="shared" si="56"/>
        <v>0.15414229231777152</v>
      </c>
      <c r="AX49" s="5">
        <f t="shared" si="57"/>
        <v>5.1508173355590409E-4</v>
      </c>
      <c r="AY49" s="5">
        <f t="shared" si="58"/>
        <v>0.1489560828365217</v>
      </c>
      <c r="AZ49">
        <f t="shared" si="59"/>
        <v>7.3281001668702361E-3</v>
      </c>
      <c r="BA49">
        <f t="shared" si="60"/>
        <v>5.1169366662926537E-4</v>
      </c>
      <c r="BB49" s="5">
        <f t="shared" si="61"/>
        <v>95.000000000000995</v>
      </c>
      <c r="BC49" s="5">
        <f t="shared" si="62"/>
        <v>0.15679587667002121</v>
      </c>
      <c r="BD49" s="5">
        <f t="shared" si="63"/>
        <v>0.30600780633985752</v>
      </c>
      <c r="BE49" s="16">
        <f t="shared" si="64"/>
        <v>0.3141034470066717</v>
      </c>
      <c r="BF49">
        <f t="shared" si="65"/>
        <v>3.4130556323149759E-3</v>
      </c>
      <c r="BG49">
        <f t="shared" si="66"/>
        <v>0.14681419217362376</v>
      </c>
      <c r="BH49">
        <f t="shared" si="67"/>
        <v>3.3880669266533558E-6</v>
      </c>
      <c r="BI49">
        <f t="shared" si="68"/>
        <v>0.30046465981265746</v>
      </c>
      <c r="BJ49">
        <f t="shared" si="69"/>
        <v>1.6687446095050227</v>
      </c>
      <c r="BK49">
        <f t="shared" si="70"/>
        <v>0.30046465981265746</v>
      </c>
      <c r="BL49">
        <f t="shared" si="34"/>
        <v>0.79671825057006462</v>
      </c>
      <c r="BM49">
        <f t="shared" si="35"/>
        <v>0.15364538553864371</v>
      </c>
      <c r="BN49">
        <f t="shared" si="36"/>
        <v>0.30046465981265746</v>
      </c>
      <c r="BO49" s="5">
        <f t="shared" si="71"/>
        <v>0.79671825057006462</v>
      </c>
      <c r="BP49" s="5">
        <f t="shared" si="72"/>
        <v>0.3141034470066717</v>
      </c>
      <c r="BQ49" s="4">
        <f t="shared" si="37"/>
        <v>2.22164339506562</v>
      </c>
      <c r="BR49" s="5">
        <f t="shared" si="73"/>
        <v>0.13759769643239131</v>
      </c>
      <c r="BS49">
        <f t="shared" si="74"/>
        <v>6.4318803475642552</v>
      </c>
      <c r="BT49">
        <f t="shared" si="75"/>
        <v>6.1314156877515975</v>
      </c>
      <c r="BU49">
        <f t="shared" si="38"/>
        <v>5.6351620969941907</v>
      </c>
      <c r="BV49">
        <f t="shared" si="39"/>
        <v>1.6687446095050227</v>
      </c>
      <c r="BW49">
        <f t="shared" si="40"/>
        <v>0.30046465981265746</v>
      </c>
      <c r="BX49" s="4">
        <f t="shared" si="41"/>
        <v>3.9384185386353603</v>
      </c>
      <c r="BY49">
        <f t="shared" si="42"/>
        <v>0.13958341513682176</v>
      </c>
      <c r="BZ49">
        <f t="shared" si="43"/>
        <v>23.542247837539374</v>
      </c>
      <c r="CA49">
        <f t="shared" si="44"/>
        <v>21.873503228034352</v>
      </c>
    </row>
    <row r="50" spans="1:79" x14ac:dyDescent="0.25">
      <c r="A50">
        <v>7</v>
      </c>
      <c r="B50">
        <v>1.54143585092054E-3</v>
      </c>
      <c r="C50">
        <v>1.54143585092054E-3</v>
      </c>
      <c r="D50">
        <v>3.4254130020456501E-4</v>
      </c>
      <c r="E50">
        <v>0</v>
      </c>
      <c r="F50">
        <v>0</v>
      </c>
      <c r="G50">
        <v>0</v>
      </c>
      <c r="H50" s="5">
        <v>1.7744466230058299E-5</v>
      </c>
      <c r="I50" s="5">
        <v>1.2927742824924801E-8</v>
      </c>
      <c r="J50">
        <v>3.3739048286900598E-4</v>
      </c>
      <c r="K50">
        <v>0.13716795306346499</v>
      </c>
      <c r="L50">
        <v>0.138764207307677</v>
      </c>
      <c r="M50">
        <v>4.6369433969460899E-4</v>
      </c>
      <c r="N50" t="s">
        <v>52</v>
      </c>
      <c r="O50">
        <v>0.1</v>
      </c>
      <c r="P50">
        <v>12</v>
      </c>
      <c r="Q50">
        <v>1.64967327652189E-3</v>
      </c>
      <c r="R50">
        <v>1.66887089455438E-3</v>
      </c>
      <c r="S50">
        <v>5.5766973522943398E-6</v>
      </c>
      <c r="T50">
        <v>0</v>
      </c>
      <c r="U50">
        <v>0</v>
      </c>
      <c r="V50">
        <v>0</v>
      </c>
      <c r="W50">
        <v>1.6127216178039401E-3</v>
      </c>
      <c r="X50">
        <v>7.9340068948572E-5</v>
      </c>
      <c r="Y50">
        <v>5.5400161990028701E-6</v>
      </c>
      <c r="Z50">
        <v>1.7331814378101901E-3</v>
      </c>
      <c r="AA50">
        <v>7.4555389865565105E-2</v>
      </c>
      <c r="AB50">
        <v>1.7204936451815799E-6</v>
      </c>
      <c r="AC50">
        <v>0.1</v>
      </c>
      <c r="AD50">
        <v>100</v>
      </c>
      <c r="AE50">
        <v>11.1082169753281</v>
      </c>
      <c r="AF50">
        <v>92.363221637625401</v>
      </c>
      <c r="AG50">
        <v>19.691961669677699</v>
      </c>
      <c r="AH50">
        <f t="shared" si="46"/>
        <v>1.11082169753281</v>
      </c>
      <c r="AI50">
        <f t="shared" si="29"/>
        <v>1.96919616696777</v>
      </c>
      <c r="AJ50">
        <f t="shared" si="30"/>
        <v>1.11082169753281</v>
      </c>
      <c r="AK50">
        <f t="shared" si="45"/>
        <v>1.96919616696777</v>
      </c>
      <c r="AL50">
        <f t="shared" si="47"/>
        <v>0.61456810677540286</v>
      </c>
      <c r="AM50">
        <f t="shared" si="31"/>
        <v>0.49625359075740716</v>
      </c>
      <c r="AN50">
        <f t="shared" si="32"/>
        <v>0.61456810677540286</v>
      </c>
      <c r="AO50" s="5">
        <f t="shared" si="48"/>
        <v>1.7744466230058299E-3</v>
      </c>
      <c r="AP50" s="5">
        <f t="shared" si="49"/>
        <v>1.29277428249248E-6</v>
      </c>
      <c r="AQ50" s="5">
        <f t="shared" si="50"/>
        <v>3.3739048286900594E-2</v>
      </c>
      <c r="AR50">
        <f t="shared" si="51"/>
        <v>10</v>
      </c>
      <c r="AS50" s="5">
        <f t="shared" si="52"/>
        <v>0.154143585092054</v>
      </c>
      <c r="AT50" s="8">
        <f t="shared" si="53"/>
        <v>0.154143585092054</v>
      </c>
      <c r="AU50" s="5">
        <f t="shared" si="54"/>
        <v>3.4254130020456498E-2</v>
      </c>
      <c r="AV50" s="5">
        <f t="shared" si="55"/>
        <v>0.15236913846904818</v>
      </c>
      <c r="AW50" s="8">
        <f t="shared" si="56"/>
        <v>0.15414229231777152</v>
      </c>
      <c r="AX50" s="5">
        <f t="shared" si="57"/>
        <v>5.1508173355590409E-4</v>
      </c>
      <c r="AY50" s="5">
        <f t="shared" si="58"/>
        <v>0.14895616422501512</v>
      </c>
      <c r="AZ50">
        <f t="shared" si="59"/>
        <v>7.3281043730414365E-3</v>
      </c>
      <c r="BA50">
        <f t="shared" si="60"/>
        <v>5.1169374406453711E-4</v>
      </c>
      <c r="BB50" s="5">
        <f t="shared" si="61"/>
        <v>95.000000000000057</v>
      </c>
      <c r="BC50" s="5">
        <f t="shared" si="62"/>
        <v>0.15679596234212109</v>
      </c>
      <c r="BD50" s="5">
        <f t="shared" si="63"/>
        <v>0.30600797343916847</v>
      </c>
      <c r="BE50" s="16">
        <f t="shared" si="64"/>
        <v>0.3141036184283067</v>
      </c>
      <c r="BF50">
        <f t="shared" si="65"/>
        <v>3.4129742439955148E-3</v>
      </c>
      <c r="BG50">
        <f t="shared" si="66"/>
        <v>0.14681418795005854</v>
      </c>
      <c r="BH50">
        <f t="shared" si="67"/>
        <v>3.3879894913839737E-6</v>
      </c>
      <c r="BI50">
        <f t="shared" si="68"/>
        <v>0.30046448835658224</v>
      </c>
      <c r="BJ50">
        <f t="shared" si="69"/>
        <v>1.6687316786111879</v>
      </c>
      <c r="BK50">
        <f t="shared" si="70"/>
        <v>0.30046448835658224</v>
      </c>
      <c r="BL50">
        <f t="shared" si="34"/>
        <v>0.7967180791139894</v>
      </c>
      <c r="BM50">
        <f t="shared" si="35"/>
        <v>0.15364521842228665</v>
      </c>
      <c r="BN50">
        <f t="shared" si="36"/>
        <v>0.30046448835658224</v>
      </c>
      <c r="BO50" s="5">
        <f t="shared" si="71"/>
        <v>0.7967180791139894</v>
      </c>
      <c r="BP50" s="5">
        <f t="shared" si="72"/>
        <v>0.3141036184283067</v>
      </c>
      <c r="BQ50" s="4">
        <f t="shared" si="37"/>
        <v>2.22164339506562</v>
      </c>
      <c r="BR50" s="5">
        <f t="shared" si="73"/>
        <v>0.13759776222430534</v>
      </c>
      <c r="BS50">
        <f t="shared" si="74"/>
        <v>6.4318758880233631</v>
      </c>
      <c r="BT50">
        <f t="shared" si="75"/>
        <v>6.1314113996667805</v>
      </c>
      <c r="BU50">
        <f t="shared" si="38"/>
        <v>5.6351578089093737</v>
      </c>
      <c r="BV50">
        <f t="shared" si="39"/>
        <v>1.6687316786111879</v>
      </c>
      <c r="BW50">
        <f t="shared" si="40"/>
        <v>0.30046448835658224</v>
      </c>
      <c r="BX50" s="4">
        <f t="shared" si="41"/>
        <v>3.93839233393554</v>
      </c>
      <c r="BY50">
        <f t="shared" si="42"/>
        <v>0.13958327529962947</v>
      </c>
      <c r="BZ50">
        <f t="shared" si="43"/>
        <v>23.541932356616417</v>
      </c>
      <c r="CA50">
        <f t="shared" si="44"/>
        <v>21.873200678005229</v>
      </c>
    </row>
    <row r="51" spans="1:79" x14ac:dyDescent="0.25">
      <c r="A51">
        <v>7</v>
      </c>
      <c r="B51">
        <v>1.54143585092054E-3</v>
      </c>
      <c r="C51">
        <v>1.54143585092054E-3</v>
      </c>
      <c r="D51">
        <v>3.4254130020456501E-4</v>
      </c>
      <c r="E51">
        <v>0</v>
      </c>
      <c r="F51">
        <v>0</v>
      </c>
      <c r="G51">
        <v>0</v>
      </c>
      <c r="H51" s="5">
        <v>1.7744466230058299E-5</v>
      </c>
      <c r="I51" s="5">
        <v>1.2927742824924801E-8</v>
      </c>
      <c r="J51">
        <v>3.3739048286900598E-4</v>
      </c>
      <c r="K51">
        <v>0.13716795306346499</v>
      </c>
      <c r="L51">
        <v>0.138764207307677</v>
      </c>
      <c r="M51">
        <v>4.6369433969460899E-4</v>
      </c>
      <c r="N51" t="s">
        <v>52</v>
      </c>
      <c r="O51">
        <v>0.1</v>
      </c>
      <c r="P51">
        <v>13</v>
      </c>
      <c r="Q51">
        <v>1.64967327652189E-3</v>
      </c>
      <c r="R51">
        <v>1.66887089455438E-3</v>
      </c>
      <c r="S51">
        <v>5.5766973522943398E-6</v>
      </c>
      <c r="T51">
        <v>0</v>
      </c>
      <c r="U51">
        <v>0</v>
      </c>
      <c r="V51">
        <v>0</v>
      </c>
      <c r="W51">
        <v>1.61272186550998E-3</v>
      </c>
      <c r="X51">
        <v>7.93400817500593E-5</v>
      </c>
      <c r="Y51">
        <v>5.54001643467726E-6</v>
      </c>
      <c r="Z51">
        <v>1.7331730611392299E-3</v>
      </c>
      <c r="AA51">
        <v>7.4555528710795793E-2</v>
      </c>
      <c r="AB51">
        <v>1.7204858090881901E-6</v>
      </c>
      <c r="AC51">
        <v>0.1</v>
      </c>
      <c r="AD51">
        <v>100</v>
      </c>
      <c r="AE51">
        <v>11.1082169753281</v>
      </c>
      <c r="AF51">
        <v>92.363221637625401</v>
      </c>
      <c r="AG51">
        <v>19.691924837979698</v>
      </c>
      <c r="AH51">
        <f t="shared" si="46"/>
        <v>1.11082169753281</v>
      </c>
      <c r="AI51">
        <f t="shared" si="29"/>
        <v>1.96919248379797</v>
      </c>
      <c r="AJ51">
        <f t="shared" si="30"/>
        <v>1.11082169753281</v>
      </c>
      <c r="AK51">
        <f t="shared" si="45"/>
        <v>1.96919248379797</v>
      </c>
      <c r="AL51">
        <f t="shared" si="47"/>
        <v>0.61456810677540286</v>
      </c>
      <c r="AM51">
        <f t="shared" si="31"/>
        <v>0.49625359075740716</v>
      </c>
      <c r="AN51">
        <f t="shared" si="32"/>
        <v>0.61456810677540286</v>
      </c>
      <c r="AO51" s="5">
        <f t="shared" si="48"/>
        <v>1.7744466230058299E-3</v>
      </c>
      <c r="AP51" s="5">
        <f t="shared" si="49"/>
        <v>1.29277428249248E-6</v>
      </c>
      <c r="AQ51" s="5">
        <f t="shared" si="50"/>
        <v>3.3739048286900594E-2</v>
      </c>
      <c r="AR51">
        <f t="shared" si="51"/>
        <v>10</v>
      </c>
      <c r="AS51" s="5">
        <f t="shared" si="52"/>
        <v>0.154143585092054</v>
      </c>
      <c r="AT51" s="8">
        <f t="shared" si="53"/>
        <v>0.154143585092054</v>
      </c>
      <c r="AU51" s="5">
        <f t="shared" si="54"/>
        <v>3.4254130020456498E-2</v>
      </c>
      <c r="AV51" s="5">
        <f t="shared" si="55"/>
        <v>0.15236913846904818</v>
      </c>
      <c r="AW51" s="8">
        <f t="shared" si="56"/>
        <v>0.15414229231777152</v>
      </c>
      <c r="AX51" s="5">
        <f t="shared" si="57"/>
        <v>5.1508173355590409E-4</v>
      </c>
      <c r="AY51" s="5">
        <f t="shared" si="58"/>
        <v>0.14895618710394298</v>
      </c>
      <c r="AZ51">
        <f t="shared" si="59"/>
        <v>7.3281055554280453E-3</v>
      </c>
      <c r="BA51">
        <f t="shared" si="60"/>
        <v>5.1169376583218306E-4</v>
      </c>
      <c r="BB51" s="5">
        <f t="shared" si="61"/>
        <v>94.999999999999957</v>
      </c>
      <c r="BC51" s="5">
        <f t="shared" si="62"/>
        <v>0.1567959864252032</v>
      </c>
      <c r="BD51" s="5">
        <f t="shared" si="63"/>
        <v>0.30600802041206232</v>
      </c>
      <c r="BE51" s="16">
        <f t="shared" si="64"/>
        <v>0.31410366661623862</v>
      </c>
      <c r="BF51">
        <f t="shared" si="65"/>
        <v>3.4129513651164909E-3</v>
      </c>
      <c r="BG51">
        <f t="shared" si="66"/>
        <v>0.14681418676288283</v>
      </c>
      <c r="BH51">
        <f t="shared" si="67"/>
        <v>3.3879677237375331E-6</v>
      </c>
      <c r="BI51">
        <f t="shared" si="68"/>
        <v>0.30046444015916984</v>
      </c>
      <c r="BJ51">
        <f t="shared" si="69"/>
        <v>1.6687280436388001</v>
      </c>
      <c r="BK51">
        <f t="shared" si="70"/>
        <v>0.30046444015916984</v>
      </c>
      <c r="BL51">
        <f t="shared" si="34"/>
        <v>0.796718030916577</v>
      </c>
      <c r="BM51">
        <f t="shared" si="35"/>
        <v>0.15364517144470141</v>
      </c>
      <c r="BN51">
        <f t="shared" si="36"/>
        <v>0.30046444015916984</v>
      </c>
      <c r="BO51" s="5">
        <f t="shared" si="71"/>
        <v>0.796718030916577</v>
      </c>
      <c r="BP51" s="5">
        <f t="shared" si="72"/>
        <v>0.31410366661623862</v>
      </c>
      <c r="BQ51" s="4">
        <f t="shared" si="37"/>
        <v>2.22164339506562</v>
      </c>
      <c r="BR51" s="5">
        <f t="shared" si="73"/>
        <v>0.13759778071891365</v>
      </c>
      <c r="BS51">
        <f t="shared" si="74"/>
        <v>6.431874634414795</v>
      </c>
      <c r="BT51">
        <f t="shared" si="75"/>
        <v>6.1314101942556256</v>
      </c>
      <c r="BU51">
        <f t="shared" si="38"/>
        <v>5.6351566034982188</v>
      </c>
      <c r="BV51">
        <f t="shared" si="39"/>
        <v>1.6687280436388001</v>
      </c>
      <c r="BW51">
        <f t="shared" si="40"/>
        <v>0.30046444015916984</v>
      </c>
      <c r="BX51" s="4">
        <f t="shared" si="41"/>
        <v>3.9383849675959399</v>
      </c>
      <c r="BY51">
        <f t="shared" si="42"/>
        <v>0.13958323599029465</v>
      </c>
      <c r="BZ51">
        <f t="shared" si="43"/>
        <v>23.541843672866975</v>
      </c>
      <c r="CA51">
        <f t="shared" si="44"/>
        <v>21.873115629228174</v>
      </c>
    </row>
    <row r="52" spans="1:79" x14ac:dyDescent="0.25">
      <c r="A52">
        <v>8</v>
      </c>
      <c r="B52">
        <v>1.54143585092054E-3</v>
      </c>
      <c r="C52">
        <v>1.54143585092054E-3</v>
      </c>
      <c r="D52">
        <v>3.4254130020456501E-4</v>
      </c>
      <c r="E52">
        <v>0</v>
      </c>
      <c r="F52">
        <v>0</v>
      </c>
      <c r="G52">
        <v>0</v>
      </c>
      <c r="H52" s="5">
        <v>1.7762434284205799E-5</v>
      </c>
      <c r="I52" s="5">
        <v>4.4591984978445998E-9</v>
      </c>
      <c r="J52">
        <v>3.37570976171142E-4</v>
      </c>
      <c r="K52">
        <v>0.13846015972746001</v>
      </c>
      <c r="L52">
        <v>0.14007387303476199</v>
      </c>
      <c r="M52">
        <v>4.5166625081916902E-4</v>
      </c>
      <c r="N52" t="s">
        <v>52</v>
      </c>
      <c r="O52">
        <v>0.1</v>
      </c>
      <c r="P52">
        <v>4</v>
      </c>
      <c r="Q52">
        <v>1.6497294784823999E-3</v>
      </c>
      <c r="R52">
        <v>1.66895660069658E-3</v>
      </c>
      <c r="S52">
        <v>5.38152729188446E-6</v>
      </c>
      <c r="T52">
        <v>0</v>
      </c>
      <c r="U52">
        <v>0</v>
      </c>
      <c r="V52">
        <v>0</v>
      </c>
      <c r="W52">
        <v>1.6048042794156499E-3</v>
      </c>
      <c r="X52">
        <v>7.91245725580603E-5</v>
      </c>
      <c r="Y52">
        <v>5.33881057128359E-6</v>
      </c>
      <c r="Z52">
        <v>1.9876957232607701E-3</v>
      </c>
      <c r="AA52">
        <v>7.0341420588359904E-2</v>
      </c>
      <c r="AB52">
        <v>1.8899825621476501E-6</v>
      </c>
      <c r="AC52">
        <v>0.1</v>
      </c>
      <c r="AD52">
        <v>100</v>
      </c>
      <c r="AE52">
        <v>11.004417585793099</v>
      </c>
      <c r="AF52">
        <v>92.358985913147194</v>
      </c>
      <c r="AG52">
        <v>20.8746528965852</v>
      </c>
      <c r="AH52">
        <f t="shared" si="46"/>
        <v>1.10044175857931</v>
      </c>
      <c r="AI52">
        <f t="shared" si="29"/>
        <v>2.0874652896585202</v>
      </c>
      <c r="AJ52">
        <f t="shared" si="30"/>
        <v>1.10044175857931</v>
      </c>
      <c r="AK52">
        <f t="shared" si="45"/>
        <v>2.0874652896585202</v>
      </c>
      <c r="AL52">
        <f t="shared" si="47"/>
        <v>0.61451205888412053</v>
      </c>
      <c r="AM52">
        <f t="shared" si="31"/>
        <v>0.48592969969518951</v>
      </c>
      <c r="AN52">
        <f t="shared" si="32"/>
        <v>0.61451205888412053</v>
      </c>
      <c r="AO52" s="5">
        <f t="shared" si="48"/>
        <v>1.7762434284205799E-3</v>
      </c>
      <c r="AP52" s="5">
        <f t="shared" si="49"/>
        <v>4.4591984978445997E-7</v>
      </c>
      <c r="AQ52" s="5">
        <f t="shared" si="50"/>
        <v>3.37570976171142E-2</v>
      </c>
      <c r="AR52">
        <f t="shared" si="51"/>
        <v>10</v>
      </c>
      <c r="AS52" s="5">
        <f t="shared" si="52"/>
        <v>0.154143585092054</v>
      </c>
      <c r="AT52" s="8">
        <f t="shared" si="53"/>
        <v>0.154143585092054</v>
      </c>
      <c r="AU52" s="5">
        <f t="shared" si="54"/>
        <v>3.4254130020456498E-2</v>
      </c>
      <c r="AV52" s="5">
        <f t="shared" si="55"/>
        <v>0.15236734166363342</v>
      </c>
      <c r="AW52" s="8">
        <f t="shared" si="56"/>
        <v>0.15414313917220421</v>
      </c>
      <c r="AX52" s="5">
        <f t="shared" si="57"/>
        <v>4.9703240334229848E-4</v>
      </c>
      <c r="AY52" s="5">
        <f t="shared" si="58"/>
        <v>0.14821809583590834</v>
      </c>
      <c r="AZ52">
        <f t="shared" si="59"/>
        <v>7.3078652822736847E-3</v>
      </c>
      <c r="BA52">
        <f t="shared" si="60"/>
        <v>4.9308713034614243E-4</v>
      </c>
      <c r="BB52" s="5">
        <f t="shared" si="61"/>
        <v>94.999999999876025</v>
      </c>
      <c r="BC52" s="5">
        <f t="shared" si="62"/>
        <v>0.15601904824852816</v>
      </c>
      <c r="BD52" s="5">
        <f t="shared" si="63"/>
        <v>0.30448368764960954</v>
      </c>
      <c r="BE52" s="16">
        <f t="shared" si="64"/>
        <v>0.31253118362740245</v>
      </c>
      <c r="BF52">
        <f t="shared" si="65"/>
        <v>4.1492458287095456E-3</v>
      </c>
      <c r="BG52">
        <f t="shared" si="66"/>
        <v>0.14683527390347251</v>
      </c>
      <c r="BH52">
        <f t="shared" si="67"/>
        <v>3.9452729965430964E-6</v>
      </c>
      <c r="BI52">
        <f t="shared" si="68"/>
        <v>0.30198087528335371</v>
      </c>
      <c r="BJ52">
        <f t="shared" si="69"/>
        <v>1.7854844143751665</v>
      </c>
      <c r="BK52">
        <f t="shared" si="70"/>
        <v>0.30198087528335371</v>
      </c>
      <c r="BL52">
        <f t="shared" si="34"/>
        <v>0.78791057497854322</v>
      </c>
      <c r="BM52">
        <f t="shared" si="35"/>
        <v>0.1551396834703864</v>
      </c>
      <c r="BN52">
        <f t="shared" si="36"/>
        <v>0.30198087528335371</v>
      </c>
      <c r="BO52" s="5">
        <f t="shared" si="71"/>
        <v>0.78791057497854322</v>
      </c>
      <c r="BP52" s="5">
        <f t="shared" si="72"/>
        <v>0.31253118362740245</v>
      </c>
      <c r="BQ52" s="4">
        <f t="shared" si="37"/>
        <v>2.2008835171586201</v>
      </c>
      <c r="BR52" s="5">
        <f t="shared" si="73"/>
        <v>0.13683470746560719</v>
      </c>
      <c r="BS52">
        <f t="shared" si="74"/>
        <v>6.3364749689003617</v>
      </c>
      <c r="BT52">
        <f t="shared" si="75"/>
        <v>6.0344940936170079</v>
      </c>
      <c r="BU52">
        <f t="shared" si="38"/>
        <v>5.5485643939218185</v>
      </c>
      <c r="BV52">
        <f t="shared" si="39"/>
        <v>1.7854844143751665</v>
      </c>
      <c r="BW52">
        <f t="shared" si="40"/>
        <v>0.30198087528335371</v>
      </c>
      <c r="BX52" s="4">
        <f t="shared" si="41"/>
        <v>4.1749305793170404</v>
      </c>
      <c r="BY52">
        <f t="shared" si="42"/>
        <v>0.14080568751185324</v>
      </c>
      <c r="BZ52">
        <f t="shared" si="43"/>
        <v>26.470072381988647</v>
      </c>
      <c r="CA52">
        <f t="shared" si="44"/>
        <v>24.684587967613481</v>
      </c>
    </row>
    <row r="53" spans="1:79" x14ac:dyDescent="0.25">
      <c r="A53">
        <v>8</v>
      </c>
      <c r="B53">
        <v>1.54143585092054E-3</v>
      </c>
      <c r="C53">
        <v>1.54143585092054E-3</v>
      </c>
      <c r="D53">
        <v>3.4254130020456501E-4</v>
      </c>
      <c r="E53">
        <v>0</v>
      </c>
      <c r="F53">
        <v>0</v>
      </c>
      <c r="G53">
        <v>0</v>
      </c>
      <c r="H53" s="5">
        <v>1.7762434284205799E-5</v>
      </c>
      <c r="I53" s="5">
        <v>4.4591984978445998E-9</v>
      </c>
      <c r="J53">
        <v>3.37570976171142E-4</v>
      </c>
      <c r="K53">
        <v>0.13846015972746001</v>
      </c>
      <c r="L53">
        <v>0.14007387303476199</v>
      </c>
      <c r="M53">
        <v>4.5166625081916902E-4</v>
      </c>
      <c r="N53" t="s">
        <v>52</v>
      </c>
      <c r="O53">
        <v>0.1</v>
      </c>
      <c r="P53">
        <v>5</v>
      </c>
      <c r="Q53">
        <v>1.6497294784823999E-3</v>
      </c>
      <c r="R53">
        <v>1.66895660069658E-3</v>
      </c>
      <c r="S53">
        <v>5.38152729188446E-6</v>
      </c>
      <c r="T53">
        <v>0</v>
      </c>
      <c r="U53">
        <v>0</v>
      </c>
      <c r="V53">
        <v>0</v>
      </c>
      <c r="W53">
        <v>1.6104132966485E-3</v>
      </c>
      <c r="X53">
        <v>7.9414634231904594E-5</v>
      </c>
      <c r="Y53">
        <v>5.3439603602742398E-6</v>
      </c>
      <c r="Z53">
        <v>1.8119059661181E-3</v>
      </c>
      <c r="AA53">
        <v>7.3254839053204804E-2</v>
      </c>
      <c r="AB53">
        <v>1.7312908918998299E-6</v>
      </c>
      <c r="AC53">
        <v>0.1</v>
      </c>
      <c r="AD53">
        <v>100</v>
      </c>
      <c r="AE53">
        <v>11.004417585793099</v>
      </c>
      <c r="AF53">
        <v>92.358985913147194</v>
      </c>
      <c r="AG53">
        <v>20.040789930945397</v>
      </c>
      <c r="AH53">
        <f t="shared" si="46"/>
        <v>1.10044175857931</v>
      </c>
      <c r="AI53">
        <f t="shared" si="29"/>
        <v>2.0040789930945397</v>
      </c>
      <c r="AJ53">
        <f t="shared" si="30"/>
        <v>1.10044175857931</v>
      </c>
      <c r="AK53">
        <f t="shared" si="45"/>
        <v>2.0040789930945397</v>
      </c>
      <c r="AL53">
        <f t="shared" si="47"/>
        <v>0.61451205888412053</v>
      </c>
      <c r="AM53">
        <f t="shared" si="31"/>
        <v>0.48592969969518951</v>
      </c>
      <c r="AN53">
        <f t="shared" si="32"/>
        <v>0.61451205888412053</v>
      </c>
      <c r="AO53" s="5">
        <f t="shared" si="48"/>
        <v>1.7762434284205799E-3</v>
      </c>
      <c r="AP53" s="5">
        <f t="shared" si="49"/>
        <v>4.4591984978445997E-7</v>
      </c>
      <c r="AQ53" s="5">
        <f t="shared" si="50"/>
        <v>3.37570976171142E-2</v>
      </c>
      <c r="AR53">
        <f t="shared" si="51"/>
        <v>10</v>
      </c>
      <c r="AS53" s="5">
        <f t="shared" si="52"/>
        <v>0.154143585092054</v>
      </c>
      <c r="AT53" s="8">
        <f t="shared" si="53"/>
        <v>0.154143585092054</v>
      </c>
      <c r="AU53" s="5">
        <f t="shared" si="54"/>
        <v>3.4254130020456498E-2</v>
      </c>
      <c r="AV53" s="5">
        <f t="shared" si="55"/>
        <v>0.15236734166363342</v>
      </c>
      <c r="AW53" s="8">
        <f t="shared" si="56"/>
        <v>0.15414313917220421</v>
      </c>
      <c r="AX53" s="5">
        <f t="shared" si="57"/>
        <v>4.9703240334229848E-4</v>
      </c>
      <c r="AY53" s="5">
        <f t="shared" si="58"/>
        <v>0.14873613897950375</v>
      </c>
      <c r="AZ53">
        <f t="shared" si="59"/>
        <v>7.3346550843222131E-3</v>
      </c>
      <c r="BA53">
        <f t="shared" si="60"/>
        <v>4.9356275963498557E-4</v>
      </c>
      <c r="BB53" s="5">
        <f t="shared" si="61"/>
        <v>94.999999998221725</v>
      </c>
      <c r="BC53" s="5">
        <f t="shared" si="62"/>
        <v>0.15656435682346095</v>
      </c>
      <c r="BD53" s="5">
        <f t="shared" si="63"/>
        <v>0.30554727718278218</v>
      </c>
      <c r="BE53" s="16">
        <f t="shared" si="64"/>
        <v>0.31362227640655688</v>
      </c>
      <c r="BF53">
        <f t="shared" si="65"/>
        <v>3.631202684159951E-3</v>
      </c>
      <c r="BG53">
        <f t="shared" si="66"/>
        <v>0.14680848408904926</v>
      </c>
      <c r="BH53">
        <f t="shared" si="67"/>
        <v>3.4696437073923588E-6</v>
      </c>
      <c r="BI53">
        <f t="shared" si="68"/>
        <v>0.30088978247754061</v>
      </c>
      <c r="BJ53">
        <f t="shared" si="69"/>
        <v>1.703189210616999</v>
      </c>
      <c r="BK53">
        <f t="shared" si="70"/>
        <v>0.30088978247754061</v>
      </c>
      <c r="BL53">
        <f t="shared" si="34"/>
        <v>0.78681948217273012</v>
      </c>
      <c r="BM53">
        <f t="shared" si="35"/>
        <v>0.15407609392293026</v>
      </c>
      <c r="BN53">
        <f t="shared" si="36"/>
        <v>0.30088978247754061</v>
      </c>
      <c r="BO53" s="5">
        <f t="shared" si="71"/>
        <v>0.78681948217273012</v>
      </c>
      <c r="BP53" s="5">
        <f t="shared" si="72"/>
        <v>0.31362227640655688</v>
      </c>
      <c r="BQ53" s="4">
        <f t="shared" si="37"/>
        <v>2.2008835171586201</v>
      </c>
      <c r="BR53" s="5">
        <f t="shared" si="73"/>
        <v>0.13725283523373685</v>
      </c>
      <c r="BS53">
        <f t="shared" si="74"/>
        <v>6.3084235248919276</v>
      </c>
      <c r="BT53">
        <f t="shared" si="75"/>
        <v>6.0075337424143873</v>
      </c>
      <c r="BU53">
        <f t="shared" si="38"/>
        <v>5.5216040427191979</v>
      </c>
      <c r="BV53">
        <f t="shared" si="39"/>
        <v>1.703189210616999</v>
      </c>
      <c r="BW53">
        <f t="shared" si="40"/>
        <v>0.30088978247754061</v>
      </c>
      <c r="BX53" s="4">
        <f t="shared" si="41"/>
        <v>4.0081579861890795</v>
      </c>
      <c r="BY53">
        <f t="shared" si="42"/>
        <v>0.13993970934479047</v>
      </c>
      <c r="BZ53">
        <f t="shared" si="43"/>
        <v>24.391402084828375</v>
      </c>
      <c r="CA53">
        <f t="shared" si="44"/>
        <v>22.688212874211377</v>
      </c>
    </row>
    <row r="54" spans="1:79" x14ac:dyDescent="0.25">
      <c r="A54">
        <v>8</v>
      </c>
      <c r="B54">
        <v>1.54143585092054E-3</v>
      </c>
      <c r="C54">
        <v>1.54143585092054E-3</v>
      </c>
      <c r="D54">
        <v>3.4254130020456501E-4</v>
      </c>
      <c r="E54">
        <v>0</v>
      </c>
      <c r="F54">
        <v>0</v>
      </c>
      <c r="G54">
        <v>0</v>
      </c>
      <c r="H54" s="5">
        <v>1.7762434284205799E-5</v>
      </c>
      <c r="I54" s="5">
        <v>4.4591984978445998E-9</v>
      </c>
      <c r="J54">
        <v>3.37570976171142E-4</v>
      </c>
      <c r="K54">
        <v>0.13846015972746001</v>
      </c>
      <c r="L54">
        <v>0.14007387303476199</v>
      </c>
      <c r="M54">
        <v>4.5166625081916902E-4</v>
      </c>
      <c r="N54" t="s">
        <v>52</v>
      </c>
      <c r="O54">
        <v>0.1</v>
      </c>
      <c r="P54">
        <v>6</v>
      </c>
      <c r="Q54">
        <v>1.6497294784823999E-3</v>
      </c>
      <c r="R54">
        <v>1.66895660069658E-3</v>
      </c>
      <c r="S54">
        <v>5.38152729188446E-6</v>
      </c>
      <c r="T54">
        <v>0</v>
      </c>
      <c r="U54">
        <v>0</v>
      </c>
      <c r="V54">
        <v>0</v>
      </c>
      <c r="W54">
        <v>1.6120973624594601E-3</v>
      </c>
      <c r="X54">
        <v>7.9501723318735999E-5</v>
      </c>
      <c r="Y54">
        <v>5.3455064946735699E-6</v>
      </c>
      <c r="Z54">
        <v>1.7562344447916399E-3</v>
      </c>
      <c r="AA54">
        <v>7.4177476557294494E-2</v>
      </c>
      <c r="AB54">
        <v>1.6810366111767E-6</v>
      </c>
      <c r="AC54">
        <v>0.1</v>
      </c>
      <c r="AD54">
        <v>100</v>
      </c>
      <c r="AE54">
        <v>11.004417585793099</v>
      </c>
      <c r="AF54">
        <v>92.358985913147194</v>
      </c>
      <c r="AG54">
        <v>19.790433355595599</v>
      </c>
      <c r="AH54">
        <f t="shared" si="46"/>
        <v>1.10044175857931</v>
      </c>
      <c r="AI54">
        <f t="shared" si="29"/>
        <v>1.97904333555956</v>
      </c>
      <c r="AJ54">
        <f t="shared" si="30"/>
        <v>1.10044175857931</v>
      </c>
      <c r="AK54">
        <f t="shared" si="45"/>
        <v>1.97904333555956</v>
      </c>
      <c r="AL54">
        <f t="shared" si="47"/>
        <v>0.61451205888412053</v>
      </c>
      <c r="AM54">
        <f t="shared" si="31"/>
        <v>0.48592969969518951</v>
      </c>
      <c r="AN54">
        <f t="shared" si="32"/>
        <v>0.61451205888412053</v>
      </c>
      <c r="AO54" s="5">
        <f t="shared" si="48"/>
        <v>1.7762434284205799E-3</v>
      </c>
      <c r="AP54" s="5">
        <f t="shared" si="49"/>
        <v>4.4591984978445997E-7</v>
      </c>
      <c r="AQ54" s="5">
        <f t="shared" si="50"/>
        <v>3.37570976171142E-2</v>
      </c>
      <c r="AR54">
        <f t="shared" si="51"/>
        <v>10</v>
      </c>
      <c r="AS54" s="5">
        <f t="shared" si="52"/>
        <v>0.154143585092054</v>
      </c>
      <c r="AT54" s="8">
        <f t="shared" si="53"/>
        <v>0.154143585092054</v>
      </c>
      <c r="AU54" s="5">
        <f t="shared" si="54"/>
        <v>3.4254130020456498E-2</v>
      </c>
      <c r="AV54" s="5">
        <f t="shared" si="55"/>
        <v>0.15236734166363342</v>
      </c>
      <c r="AW54" s="8">
        <f t="shared" si="56"/>
        <v>0.15414313917220421</v>
      </c>
      <c r="AX54" s="5">
        <f t="shared" si="57"/>
        <v>4.9703240334229848E-4</v>
      </c>
      <c r="AY54" s="5">
        <f t="shared" si="58"/>
        <v>0.14889167759001501</v>
      </c>
      <c r="AZ54">
        <f t="shared" si="59"/>
        <v>7.3426985440660638E-3</v>
      </c>
      <c r="BA54">
        <f t="shared" si="60"/>
        <v>4.9370555904019303E-4</v>
      </c>
      <c r="BB54" s="5">
        <f t="shared" si="61"/>
        <v>94.999999988227913</v>
      </c>
      <c r="BC54" s="5">
        <f t="shared" si="62"/>
        <v>0.15672808169312125</v>
      </c>
      <c r="BD54" s="5">
        <f t="shared" si="63"/>
        <v>0.30586661206265636</v>
      </c>
      <c r="BE54" s="16">
        <f t="shared" si="64"/>
        <v>0.31394986894528271</v>
      </c>
      <c r="BF54">
        <f t="shared" si="65"/>
        <v>3.4756640736450391E-3</v>
      </c>
      <c r="BG54">
        <f t="shared" si="66"/>
        <v>0.14680044062933917</v>
      </c>
      <c r="BH54">
        <f t="shared" si="67"/>
        <v>3.3268443021808755E-6</v>
      </c>
      <c r="BI54">
        <f t="shared" si="68"/>
        <v>0.30056218993887496</v>
      </c>
      <c r="BJ54">
        <f t="shared" si="69"/>
        <v>1.678481145620685</v>
      </c>
      <c r="BK54">
        <f t="shared" si="70"/>
        <v>0.30056218993887496</v>
      </c>
      <c r="BL54">
        <f t="shared" si="34"/>
        <v>0.78649188963406447</v>
      </c>
      <c r="BM54">
        <f t="shared" si="35"/>
        <v>0.1537567590430825</v>
      </c>
      <c r="BN54">
        <f t="shared" si="36"/>
        <v>0.30056218993887496</v>
      </c>
      <c r="BO54" s="5">
        <f t="shared" si="71"/>
        <v>0.78649188963406447</v>
      </c>
      <c r="BP54" s="5">
        <f t="shared" si="72"/>
        <v>0.31394986894528271</v>
      </c>
      <c r="BQ54" s="4">
        <f t="shared" si="37"/>
        <v>2.2008835171586201</v>
      </c>
      <c r="BR54" s="5">
        <f t="shared" si="73"/>
        <v>0.13737830418385291</v>
      </c>
      <c r="BS54">
        <f t="shared" si="74"/>
        <v>6.3000378646324986</v>
      </c>
      <c r="BT54">
        <f t="shared" si="75"/>
        <v>5.999475674693624</v>
      </c>
      <c r="BU54">
        <f t="shared" si="38"/>
        <v>5.5135459749984346</v>
      </c>
      <c r="BV54">
        <f t="shared" si="39"/>
        <v>1.678481145620685</v>
      </c>
      <c r="BW54">
        <f t="shared" si="40"/>
        <v>0.30056218993887496</v>
      </c>
      <c r="BX54" s="4">
        <f t="shared" si="41"/>
        <v>3.95808667111912</v>
      </c>
      <c r="BY54">
        <f t="shared" si="42"/>
        <v>0.13967472274103904</v>
      </c>
      <c r="BZ54">
        <f t="shared" si="43"/>
        <v>23.782305487455169</v>
      </c>
      <c r="CA54">
        <f t="shared" si="44"/>
        <v>22.103824341834482</v>
      </c>
    </row>
    <row r="55" spans="1:79" x14ac:dyDescent="0.25">
      <c r="A55">
        <v>8</v>
      </c>
      <c r="B55">
        <v>1.54143585092054E-3</v>
      </c>
      <c r="C55">
        <v>1.54143585092054E-3</v>
      </c>
      <c r="D55">
        <v>3.4254130020456501E-4</v>
      </c>
      <c r="E55">
        <v>0</v>
      </c>
      <c r="F55">
        <v>0</v>
      </c>
      <c r="G55">
        <v>0</v>
      </c>
      <c r="H55" s="5">
        <v>1.7762434284205799E-5</v>
      </c>
      <c r="I55" s="5">
        <v>4.4591984978445998E-9</v>
      </c>
      <c r="J55">
        <v>3.37570976171142E-4</v>
      </c>
      <c r="K55">
        <v>0.13846015972746001</v>
      </c>
      <c r="L55">
        <v>0.14007387303476199</v>
      </c>
      <c r="M55">
        <v>4.5166625081916902E-4</v>
      </c>
      <c r="N55" t="s">
        <v>52</v>
      </c>
      <c r="O55">
        <v>0.1</v>
      </c>
      <c r="P55">
        <v>7</v>
      </c>
      <c r="Q55">
        <v>1.6497294784823999E-3</v>
      </c>
      <c r="R55">
        <v>1.66895660069658E-3</v>
      </c>
      <c r="S55">
        <v>5.38152729188446E-6</v>
      </c>
      <c r="T55">
        <v>0</v>
      </c>
      <c r="U55">
        <v>0</v>
      </c>
      <c r="V55">
        <v>0</v>
      </c>
      <c r="W55">
        <v>1.6125869955133201E-3</v>
      </c>
      <c r="X55">
        <v>7.9527043739658596E-5</v>
      </c>
      <c r="Y55">
        <v>5.3459560242007103E-6</v>
      </c>
      <c r="Z55">
        <v>1.7397829738956801E-3</v>
      </c>
      <c r="AA55">
        <v>7.4450124503133999E-2</v>
      </c>
      <c r="AB55">
        <v>1.6661860201321599E-6</v>
      </c>
      <c r="AC55">
        <v>0.1</v>
      </c>
      <c r="AD55">
        <v>100</v>
      </c>
      <c r="AE55">
        <v>11.004417585793099</v>
      </c>
      <c r="AF55">
        <v>92.358985913147194</v>
      </c>
      <c r="AG55">
        <v>19.7176435957374</v>
      </c>
      <c r="AH55">
        <f t="shared" si="46"/>
        <v>1.10044175857931</v>
      </c>
      <c r="AI55">
        <f t="shared" si="29"/>
        <v>1.97176435957374</v>
      </c>
      <c r="AJ55">
        <f t="shared" si="30"/>
        <v>1.10044175857931</v>
      </c>
      <c r="AK55">
        <f t="shared" si="45"/>
        <v>1.97176435957374</v>
      </c>
      <c r="AL55">
        <f t="shared" si="47"/>
        <v>0.61451205888412053</v>
      </c>
      <c r="AM55">
        <f t="shared" si="31"/>
        <v>0.48592969969518951</v>
      </c>
      <c r="AN55">
        <f t="shared" si="32"/>
        <v>0.61451205888412053</v>
      </c>
      <c r="AO55" s="5">
        <f t="shared" si="48"/>
        <v>1.7762434284205799E-3</v>
      </c>
      <c r="AP55" s="5">
        <f t="shared" si="49"/>
        <v>4.4591984978445997E-7</v>
      </c>
      <c r="AQ55" s="5">
        <f t="shared" si="50"/>
        <v>3.37570976171142E-2</v>
      </c>
      <c r="AR55">
        <f t="shared" si="51"/>
        <v>10</v>
      </c>
      <c r="AS55" s="5">
        <f t="shared" si="52"/>
        <v>0.154143585092054</v>
      </c>
      <c r="AT55" s="8">
        <f t="shared" si="53"/>
        <v>0.154143585092054</v>
      </c>
      <c r="AU55" s="5">
        <f t="shared" si="54"/>
        <v>3.4254130020456498E-2</v>
      </c>
      <c r="AV55" s="5">
        <f t="shared" si="55"/>
        <v>0.15236734166363342</v>
      </c>
      <c r="AW55" s="8">
        <f t="shared" si="56"/>
        <v>0.15414313917220421</v>
      </c>
      <c r="AX55" s="5">
        <f t="shared" si="57"/>
        <v>4.9703240334229848E-4</v>
      </c>
      <c r="AY55" s="5">
        <f t="shared" si="58"/>
        <v>0.14893689960233908</v>
      </c>
      <c r="AZ55">
        <f t="shared" si="59"/>
        <v>7.3450371124653691E-3</v>
      </c>
      <c r="BA55">
        <f t="shared" si="60"/>
        <v>4.937470771314578E-4</v>
      </c>
      <c r="BB55" s="5">
        <f t="shared" si="61"/>
        <v>94.999999999999986</v>
      </c>
      <c r="BC55" s="5">
        <f t="shared" si="62"/>
        <v>0.1567756837919359</v>
      </c>
      <c r="BD55" s="5">
        <f t="shared" si="63"/>
        <v>0.30595945693284071</v>
      </c>
      <c r="BE55" s="16">
        <f t="shared" si="64"/>
        <v>0.31404511466100327</v>
      </c>
      <c r="BF55">
        <f t="shared" si="65"/>
        <v>3.4304420613207125E-3</v>
      </c>
      <c r="BG55">
        <f t="shared" si="66"/>
        <v>0.14679810206110722</v>
      </c>
      <c r="BH55">
        <f t="shared" si="67"/>
        <v>3.2853262109166071E-6</v>
      </c>
      <c r="BI55">
        <f t="shared" si="68"/>
        <v>0.30046694422348857</v>
      </c>
      <c r="BJ55">
        <f t="shared" si="69"/>
        <v>1.6712974153502513</v>
      </c>
      <c r="BK55">
        <f t="shared" si="70"/>
        <v>0.30046694422348857</v>
      </c>
      <c r="BL55">
        <f t="shared" si="34"/>
        <v>0.78639664391867803</v>
      </c>
      <c r="BM55">
        <f t="shared" si="35"/>
        <v>0.15366391417306502</v>
      </c>
      <c r="BN55">
        <f t="shared" si="36"/>
        <v>0.30046694422348857</v>
      </c>
      <c r="BO55" s="5">
        <f t="shared" si="71"/>
        <v>0.78639664391867803</v>
      </c>
      <c r="BP55" s="5">
        <f t="shared" si="72"/>
        <v>0.31404511466100327</v>
      </c>
      <c r="BQ55" s="4">
        <f t="shared" si="37"/>
        <v>2.2008835171586201</v>
      </c>
      <c r="BR55" s="5">
        <f t="shared" si="73"/>
        <v>0.13741477745265174</v>
      </c>
      <c r="BS55">
        <f t="shared" si="74"/>
        <v>6.297602934829321</v>
      </c>
      <c r="BT55">
        <f t="shared" si="75"/>
        <v>5.9971359906058321</v>
      </c>
      <c r="BU55">
        <f t="shared" si="38"/>
        <v>5.5112062909106427</v>
      </c>
      <c r="BV55">
        <f t="shared" si="39"/>
        <v>1.6712974153502513</v>
      </c>
      <c r="BW55">
        <f t="shared" si="40"/>
        <v>0.30046694422348857</v>
      </c>
      <c r="BX55" s="4">
        <f t="shared" si="41"/>
        <v>3.9435287191474799</v>
      </c>
      <c r="BY55">
        <f t="shared" si="42"/>
        <v>0.13959722366429744</v>
      </c>
      <c r="BZ55">
        <f t="shared" si="43"/>
        <v>23.60652018237916</v>
      </c>
      <c r="CA55">
        <f t="shared" si="44"/>
        <v>21.935222767028907</v>
      </c>
    </row>
    <row r="56" spans="1:79" x14ac:dyDescent="0.25">
      <c r="A56">
        <v>8</v>
      </c>
      <c r="B56">
        <v>1.54143585092054E-3</v>
      </c>
      <c r="C56">
        <v>1.54143585092054E-3</v>
      </c>
      <c r="D56">
        <v>3.4254130020456501E-4</v>
      </c>
      <c r="E56">
        <v>0</v>
      </c>
      <c r="F56">
        <v>0</v>
      </c>
      <c r="G56">
        <v>0</v>
      </c>
      <c r="H56" s="5">
        <v>1.7762434284205799E-5</v>
      </c>
      <c r="I56" s="5">
        <v>4.4591984978445998E-9</v>
      </c>
      <c r="J56">
        <v>3.37570976171142E-4</v>
      </c>
      <c r="K56">
        <v>0.13846015972746001</v>
      </c>
      <c r="L56">
        <v>0.14007387303476199</v>
      </c>
      <c r="M56">
        <v>4.5166625081916902E-4</v>
      </c>
      <c r="N56" t="s">
        <v>52</v>
      </c>
      <c r="O56">
        <v>0.1</v>
      </c>
      <c r="P56">
        <v>8</v>
      </c>
      <c r="Q56">
        <v>1.6497294784823999E-3</v>
      </c>
      <c r="R56">
        <v>1.66895660069658E-3</v>
      </c>
      <c r="S56">
        <v>5.38152729188446E-6</v>
      </c>
      <c r="T56">
        <v>0</v>
      </c>
      <c r="U56">
        <v>0</v>
      </c>
      <c r="V56">
        <v>0</v>
      </c>
      <c r="W56">
        <v>1.6127265357375701E-3</v>
      </c>
      <c r="X56">
        <v>7.9534259850848901E-5</v>
      </c>
      <c r="Y56">
        <v>5.3460841353395197E-6</v>
      </c>
      <c r="Z56">
        <v>1.7350722139013899E-3</v>
      </c>
      <c r="AA56">
        <v>7.4528195270851597E-2</v>
      </c>
      <c r="AB56">
        <v>1.6619336609946501E-6</v>
      </c>
      <c r="AC56">
        <v>0.1</v>
      </c>
      <c r="AD56">
        <v>100</v>
      </c>
      <c r="AE56">
        <v>11.004417585793099</v>
      </c>
      <c r="AF56">
        <v>92.358985913147194</v>
      </c>
      <c r="AG56">
        <v>19.696899297954801</v>
      </c>
      <c r="AH56">
        <f t="shared" si="46"/>
        <v>1.10044175857931</v>
      </c>
      <c r="AI56">
        <f t="shared" si="29"/>
        <v>1.9696899297954802</v>
      </c>
      <c r="AJ56">
        <f t="shared" si="30"/>
        <v>1.10044175857931</v>
      </c>
      <c r="AK56">
        <f t="shared" si="45"/>
        <v>1.9696899297954802</v>
      </c>
      <c r="AL56">
        <f t="shared" si="47"/>
        <v>0.61451205888412053</v>
      </c>
      <c r="AM56">
        <f t="shared" si="31"/>
        <v>0.48592969969518951</v>
      </c>
      <c r="AN56">
        <f t="shared" si="32"/>
        <v>0.61451205888412053</v>
      </c>
      <c r="AO56" s="5">
        <f t="shared" si="48"/>
        <v>1.7762434284205799E-3</v>
      </c>
      <c r="AP56" s="5">
        <f t="shared" si="49"/>
        <v>4.4591984978445997E-7</v>
      </c>
      <c r="AQ56" s="5">
        <f t="shared" si="50"/>
        <v>3.37570976171142E-2</v>
      </c>
      <c r="AR56">
        <f t="shared" si="51"/>
        <v>10</v>
      </c>
      <c r="AS56" s="5">
        <f t="shared" si="52"/>
        <v>0.154143585092054</v>
      </c>
      <c r="AT56" s="8">
        <f t="shared" si="53"/>
        <v>0.154143585092054</v>
      </c>
      <c r="AU56" s="5">
        <f t="shared" si="54"/>
        <v>3.4254130020456498E-2</v>
      </c>
      <c r="AV56" s="5">
        <f t="shared" si="55"/>
        <v>0.15236734166363342</v>
      </c>
      <c r="AW56" s="8">
        <f t="shared" si="56"/>
        <v>0.15414313917220421</v>
      </c>
      <c r="AX56" s="5">
        <f t="shared" si="57"/>
        <v>4.9703240334229848E-4</v>
      </c>
      <c r="AY56" s="5">
        <f t="shared" si="58"/>
        <v>0.14894978739594492</v>
      </c>
      <c r="AZ56">
        <f t="shared" si="59"/>
        <v>7.3457035851771423E-3</v>
      </c>
      <c r="BA56">
        <f t="shared" si="60"/>
        <v>4.9375890934632237E-4</v>
      </c>
      <c r="BB56" s="5">
        <f t="shared" si="61"/>
        <v>94.999999999999972</v>
      </c>
      <c r="BC56" s="5">
        <f t="shared" si="62"/>
        <v>0.15678924989046839</v>
      </c>
      <c r="BD56" s="5">
        <f t="shared" si="63"/>
        <v>0.30598591674108649</v>
      </c>
      <c r="BE56" s="16">
        <f t="shared" si="64"/>
        <v>0.3140722586902831</v>
      </c>
      <c r="BF56">
        <f t="shared" si="65"/>
        <v>3.4175542671895172E-3</v>
      </c>
      <c r="BG56">
        <f t="shared" si="66"/>
        <v>0.14679743571082751</v>
      </c>
      <c r="BH56">
        <f t="shared" si="67"/>
        <v>3.2734939960492976E-6</v>
      </c>
      <c r="BI56">
        <f t="shared" si="68"/>
        <v>0.30043980043802221</v>
      </c>
      <c r="BJ56">
        <f t="shared" si="69"/>
        <v>1.669250129357458</v>
      </c>
      <c r="BK56">
        <f t="shared" si="70"/>
        <v>0.30043980043802221</v>
      </c>
      <c r="BL56">
        <f t="shared" si="34"/>
        <v>0.78636950013321172</v>
      </c>
      <c r="BM56">
        <f t="shared" si="35"/>
        <v>0.15363745448620064</v>
      </c>
      <c r="BN56">
        <f t="shared" si="36"/>
        <v>0.30043980043802221</v>
      </c>
      <c r="BO56" s="5">
        <f t="shared" si="71"/>
        <v>0.78636950013321172</v>
      </c>
      <c r="BP56" s="5">
        <f t="shared" si="72"/>
        <v>0.3140722586902831</v>
      </c>
      <c r="BQ56" s="4">
        <f t="shared" si="37"/>
        <v>2.2008835171586201</v>
      </c>
      <c r="BR56" s="5">
        <f t="shared" si="73"/>
        <v>0.13742517144558952</v>
      </c>
      <c r="BS56">
        <f t="shared" si="74"/>
        <v>6.2969092671813938</v>
      </c>
      <c r="BT56">
        <f t="shared" si="75"/>
        <v>5.9964694667433713</v>
      </c>
      <c r="BU56">
        <f t="shared" si="38"/>
        <v>5.5105397670481819</v>
      </c>
      <c r="BV56">
        <f t="shared" si="39"/>
        <v>1.669250129357458</v>
      </c>
      <c r="BW56">
        <f t="shared" si="40"/>
        <v>0.30043980043802221</v>
      </c>
      <c r="BX56" s="4">
        <f t="shared" si="41"/>
        <v>3.9393798595909604</v>
      </c>
      <c r="BY56">
        <f t="shared" si="42"/>
        <v>0.13957509915138486</v>
      </c>
      <c r="BZ56">
        <f t="shared" si="43"/>
        <v>23.556531144133995</v>
      </c>
      <c r="CA56">
        <f t="shared" si="44"/>
        <v>21.887281014776537</v>
      </c>
    </row>
    <row r="57" spans="1:79" x14ac:dyDescent="0.25">
      <c r="A57">
        <v>8</v>
      </c>
      <c r="B57">
        <v>1.54143585092054E-3</v>
      </c>
      <c r="C57">
        <v>1.54143585092054E-3</v>
      </c>
      <c r="D57">
        <v>3.4254130020456501E-4</v>
      </c>
      <c r="E57">
        <v>0</v>
      </c>
      <c r="F57">
        <v>0</v>
      </c>
      <c r="G57">
        <v>0</v>
      </c>
      <c r="H57" s="5">
        <v>1.7762434284205799E-5</v>
      </c>
      <c r="I57" s="5">
        <v>4.4591984978445998E-9</v>
      </c>
      <c r="J57">
        <v>3.37570976171142E-4</v>
      </c>
      <c r="K57">
        <v>0.13846015972746001</v>
      </c>
      <c r="L57">
        <v>0.14007387303476199</v>
      </c>
      <c r="M57">
        <v>4.5166625081916902E-4</v>
      </c>
      <c r="N57" t="s">
        <v>52</v>
      </c>
      <c r="O57">
        <v>0.1</v>
      </c>
      <c r="P57">
        <v>9</v>
      </c>
      <c r="Q57">
        <v>1.6497294784823999E-3</v>
      </c>
      <c r="R57">
        <v>1.66895660069658E-3</v>
      </c>
      <c r="S57">
        <v>5.38152729188446E-6</v>
      </c>
      <c r="T57">
        <v>0</v>
      </c>
      <c r="U57">
        <v>0</v>
      </c>
      <c r="V57">
        <v>0</v>
      </c>
      <c r="W57">
        <v>1.61276595302466E-3</v>
      </c>
      <c r="X57">
        <v>7.9536298223616001E-5</v>
      </c>
      <c r="Y57">
        <v>5.3461203241357404E-6</v>
      </c>
      <c r="Z57">
        <v>1.7337397232919901E-3</v>
      </c>
      <c r="AA57">
        <v>7.4550278451312305E-2</v>
      </c>
      <c r="AB57">
        <v>1.66073083417147E-6</v>
      </c>
      <c r="AC57">
        <v>0.1</v>
      </c>
      <c r="AD57">
        <v>100</v>
      </c>
      <c r="AE57">
        <v>11.004417585793099</v>
      </c>
      <c r="AF57">
        <v>92.358985913147194</v>
      </c>
      <c r="AG57">
        <v>19.691039440255501</v>
      </c>
      <c r="AH57">
        <f t="shared" si="46"/>
        <v>1.10044175857931</v>
      </c>
      <c r="AI57">
        <f t="shared" si="29"/>
        <v>1.9691039440255502</v>
      </c>
      <c r="AJ57">
        <f t="shared" si="30"/>
        <v>1.10044175857931</v>
      </c>
      <c r="AK57">
        <f t="shared" si="45"/>
        <v>1.9691039440255502</v>
      </c>
      <c r="AL57">
        <f t="shared" si="47"/>
        <v>0.61451205888412053</v>
      </c>
      <c r="AM57">
        <f t="shared" si="31"/>
        <v>0.48592969969518951</v>
      </c>
      <c r="AN57">
        <f t="shared" si="32"/>
        <v>0.61451205888412053</v>
      </c>
      <c r="AO57" s="5">
        <f t="shared" si="48"/>
        <v>1.7762434284205799E-3</v>
      </c>
      <c r="AP57" s="5">
        <f t="shared" si="49"/>
        <v>4.4591984978445997E-7</v>
      </c>
      <c r="AQ57" s="5">
        <f t="shared" si="50"/>
        <v>3.37570976171142E-2</v>
      </c>
      <c r="AR57">
        <f t="shared" si="51"/>
        <v>10</v>
      </c>
      <c r="AS57" s="5">
        <f t="shared" si="52"/>
        <v>0.154143585092054</v>
      </c>
      <c r="AT57" s="8">
        <f t="shared" si="53"/>
        <v>0.154143585092054</v>
      </c>
      <c r="AU57" s="5">
        <f t="shared" si="54"/>
        <v>3.4254130020456498E-2</v>
      </c>
      <c r="AV57" s="5">
        <f t="shared" si="55"/>
        <v>0.15236734166363342</v>
      </c>
      <c r="AW57" s="8">
        <f t="shared" si="56"/>
        <v>0.15414313917220421</v>
      </c>
      <c r="AX57" s="5">
        <f t="shared" si="57"/>
        <v>4.9703240334229848E-4</v>
      </c>
      <c r="AY57" s="5">
        <f t="shared" si="58"/>
        <v>0.14895342793660798</v>
      </c>
      <c r="AZ57">
        <f t="shared" si="59"/>
        <v>7.3458918472188248E-3</v>
      </c>
      <c r="BA57">
        <f t="shared" si="60"/>
        <v>4.9376225170684278E-4</v>
      </c>
      <c r="BB57" s="5">
        <f t="shared" si="61"/>
        <v>95.000000001818336</v>
      </c>
      <c r="BC57" s="5">
        <f t="shared" si="62"/>
        <v>0.15679308203553363</v>
      </c>
      <c r="BD57" s="5">
        <f t="shared" si="63"/>
        <v>0.30599339109799506</v>
      </c>
      <c r="BE57" s="16">
        <f t="shared" si="64"/>
        <v>0.31407992632277415</v>
      </c>
      <c r="BF57">
        <f t="shared" si="65"/>
        <v>3.413913727048024E-3</v>
      </c>
      <c r="BG57">
        <f t="shared" si="66"/>
        <v>0.14679724732668203</v>
      </c>
      <c r="BH57">
        <f t="shared" si="67"/>
        <v>3.2701516355318838E-6</v>
      </c>
      <c r="BI57">
        <f t="shared" si="68"/>
        <v>0.30043213256236673</v>
      </c>
      <c r="BJ57">
        <f t="shared" si="69"/>
        <v>1.6686718114631836</v>
      </c>
      <c r="BK57">
        <f t="shared" si="70"/>
        <v>0.30043213256236673</v>
      </c>
      <c r="BL57">
        <f t="shared" si="34"/>
        <v>0.78636183225755629</v>
      </c>
      <c r="BM57">
        <f t="shared" si="35"/>
        <v>0.15362998000823139</v>
      </c>
      <c r="BN57">
        <f t="shared" si="36"/>
        <v>0.30043213256236673</v>
      </c>
      <c r="BO57" s="5">
        <f t="shared" si="71"/>
        <v>0.78636183225755629</v>
      </c>
      <c r="BP57" s="5">
        <f t="shared" si="72"/>
        <v>0.31407992632277415</v>
      </c>
      <c r="BQ57" s="4">
        <f t="shared" si="37"/>
        <v>2.2008835171586201</v>
      </c>
      <c r="BR57" s="5">
        <f t="shared" si="73"/>
        <v>0.13742810749513412</v>
      </c>
      <c r="BS57">
        <f t="shared" si="74"/>
        <v>6.2967133386435723</v>
      </c>
      <c r="BT57">
        <f t="shared" si="75"/>
        <v>5.9962812060812052</v>
      </c>
      <c r="BU57">
        <f t="shared" si="38"/>
        <v>5.5103515063860158</v>
      </c>
      <c r="BV57">
        <f t="shared" si="39"/>
        <v>1.6686718114631836</v>
      </c>
      <c r="BW57">
        <f t="shared" si="40"/>
        <v>0.30043213256236673</v>
      </c>
      <c r="BX57" s="4">
        <f t="shared" si="41"/>
        <v>3.9382078880511004</v>
      </c>
      <c r="BY57">
        <f t="shared" si="42"/>
        <v>0.13956884620150931</v>
      </c>
      <c r="BZ57">
        <f t="shared" si="43"/>
        <v>23.542418918419642</v>
      </c>
      <c r="CA57">
        <f t="shared" si="44"/>
        <v>21.873747106956458</v>
      </c>
    </row>
    <row r="58" spans="1:79" x14ac:dyDescent="0.25">
      <c r="A58">
        <v>8</v>
      </c>
      <c r="B58">
        <v>1.54143585092054E-3</v>
      </c>
      <c r="C58">
        <v>1.54143585092054E-3</v>
      </c>
      <c r="D58">
        <v>3.4254130020456501E-4</v>
      </c>
      <c r="E58">
        <v>0</v>
      </c>
      <c r="F58">
        <v>0</v>
      </c>
      <c r="G58">
        <v>0</v>
      </c>
      <c r="H58" s="5">
        <v>1.7762434284205799E-5</v>
      </c>
      <c r="I58" s="5">
        <v>4.4591984978445998E-9</v>
      </c>
      <c r="J58">
        <v>3.37570976171142E-4</v>
      </c>
      <c r="K58">
        <v>0.13846015972746001</v>
      </c>
      <c r="L58">
        <v>0.14007387303476199</v>
      </c>
      <c r="M58">
        <v>4.5166625081916902E-4</v>
      </c>
      <c r="N58" t="s">
        <v>52</v>
      </c>
      <c r="O58">
        <v>0.1</v>
      </c>
      <c r="P58">
        <v>10</v>
      </c>
      <c r="Q58">
        <v>1.6497294784823999E-3</v>
      </c>
      <c r="R58">
        <v>1.66895660069658E-3</v>
      </c>
      <c r="S58">
        <v>5.38152729188446E-6</v>
      </c>
      <c r="T58">
        <v>0</v>
      </c>
      <c r="U58">
        <v>0</v>
      </c>
      <c r="V58">
        <v>0</v>
      </c>
      <c r="W58">
        <v>1.61277705008137E-3</v>
      </c>
      <c r="X58">
        <v>7.9536872122754404E-5</v>
      </c>
      <c r="Y58">
        <v>5.3461305122899801E-6</v>
      </c>
      <c r="Z58">
        <v>1.73336444614092E-3</v>
      </c>
      <c r="AA58">
        <v>7.4556497867205695E-2</v>
      </c>
      <c r="AB58">
        <v>1.6603920749814E-6</v>
      </c>
      <c r="AC58">
        <v>0.1</v>
      </c>
      <c r="AD58">
        <v>100</v>
      </c>
      <c r="AE58">
        <v>11.004417585793099</v>
      </c>
      <c r="AF58">
        <v>92.358985913147194</v>
      </c>
      <c r="AG58">
        <v>19.689389736263298</v>
      </c>
      <c r="AH58">
        <f t="shared" si="46"/>
        <v>1.10044175857931</v>
      </c>
      <c r="AI58">
        <f t="shared" si="29"/>
        <v>1.9689389736263299</v>
      </c>
      <c r="AJ58">
        <f t="shared" si="30"/>
        <v>1.10044175857931</v>
      </c>
      <c r="AK58">
        <f t="shared" si="45"/>
        <v>1.9689389736263299</v>
      </c>
      <c r="AL58">
        <f t="shared" si="47"/>
        <v>0.61451205888412053</v>
      </c>
      <c r="AM58">
        <f t="shared" si="31"/>
        <v>0.48592969969518951</v>
      </c>
      <c r="AN58">
        <f t="shared" si="32"/>
        <v>0.61451205888412053</v>
      </c>
      <c r="AO58" s="5">
        <f t="shared" si="48"/>
        <v>1.7762434284205799E-3</v>
      </c>
      <c r="AP58" s="5">
        <f t="shared" si="49"/>
        <v>4.4591984978445997E-7</v>
      </c>
      <c r="AQ58" s="5">
        <f t="shared" si="50"/>
        <v>3.37570976171142E-2</v>
      </c>
      <c r="AR58">
        <f t="shared" si="51"/>
        <v>10</v>
      </c>
      <c r="AS58" s="5">
        <f t="shared" si="52"/>
        <v>0.154143585092054</v>
      </c>
      <c r="AT58" s="8">
        <f t="shared" si="53"/>
        <v>0.154143585092054</v>
      </c>
      <c r="AU58" s="5">
        <f t="shared" si="54"/>
        <v>3.4254130020456498E-2</v>
      </c>
      <c r="AV58" s="5">
        <f t="shared" si="55"/>
        <v>0.15236734166363342</v>
      </c>
      <c r="AW58" s="8">
        <f t="shared" si="56"/>
        <v>0.15414313917220421</v>
      </c>
      <c r="AX58" s="5">
        <f t="shared" si="57"/>
        <v>4.9703240334229848E-4</v>
      </c>
      <c r="AY58" s="5">
        <f t="shared" si="58"/>
        <v>0.14895445284951234</v>
      </c>
      <c r="AZ58">
        <f t="shared" si="59"/>
        <v>7.3459448519612638E-3</v>
      </c>
      <c r="BA58">
        <f t="shared" si="60"/>
        <v>4.9376319267443666E-4</v>
      </c>
      <c r="BB58" s="5">
        <f t="shared" si="61"/>
        <v>95.000000000045731</v>
      </c>
      <c r="BC58" s="5">
        <f t="shared" si="62"/>
        <v>0.15679416089414805</v>
      </c>
      <c r="BD58" s="5">
        <f t="shared" si="63"/>
        <v>0.30599549533999759</v>
      </c>
      <c r="BE58" s="16">
        <f t="shared" si="64"/>
        <v>0.31408208498097051</v>
      </c>
      <c r="BF58">
        <f t="shared" si="65"/>
        <v>3.4128888135050747E-3</v>
      </c>
      <c r="BG58">
        <f t="shared" si="66"/>
        <v>0.14679719438782962</v>
      </c>
      <c r="BH58">
        <f t="shared" si="67"/>
        <v>3.2692106679311698E-6</v>
      </c>
      <c r="BI58">
        <f t="shared" si="68"/>
        <v>0.3004299740346732</v>
      </c>
      <c r="BJ58">
        <f t="shared" si="69"/>
        <v>1.6685089995916567</v>
      </c>
      <c r="BK58">
        <f t="shared" si="70"/>
        <v>0.3004299740346732</v>
      </c>
      <c r="BL58">
        <f t="shared" si="34"/>
        <v>0.78635967372986271</v>
      </c>
      <c r="BM58">
        <f t="shared" si="35"/>
        <v>0.15362787583084167</v>
      </c>
      <c r="BN58">
        <f t="shared" si="36"/>
        <v>0.3004299740346732</v>
      </c>
      <c r="BO58" s="5">
        <f t="shared" si="71"/>
        <v>0.78635967372986271</v>
      </c>
      <c r="BP58" s="5">
        <f t="shared" si="72"/>
        <v>0.31408208498097051</v>
      </c>
      <c r="BQ58" s="4">
        <f t="shared" si="37"/>
        <v>2.2008835171586201</v>
      </c>
      <c r="BR58" s="5">
        <f t="shared" si="73"/>
        <v>0.13742893407395865</v>
      </c>
      <c r="BS58">
        <f t="shared" si="74"/>
        <v>6.2966581823988417</v>
      </c>
      <c r="BT58">
        <f t="shared" si="75"/>
        <v>5.9962282083641689</v>
      </c>
      <c r="BU58">
        <f t="shared" si="38"/>
        <v>5.5102985086689795</v>
      </c>
      <c r="BV58">
        <f t="shared" si="39"/>
        <v>1.6685089995916567</v>
      </c>
      <c r="BW58">
        <f t="shared" si="40"/>
        <v>0.3004299740346732</v>
      </c>
      <c r="BX58" s="4">
        <f t="shared" si="41"/>
        <v>3.9378779472526597</v>
      </c>
      <c r="BY58">
        <f t="shared" si="42"/>
        <v>0.13956708566439999</v>
      </c>
      <c r="BZ58">
        <f t="shared" si="43"/>
        <v>23.538446629471032</v>
      </c>
      <c r="CA58">
        <f t="shared" si="44"/>
        <v>21.869937629879374</v>
      </c>
    </row>
    <row r="59" spans="1:79" x14ac:dyDescent="0.25">
      <c r="A59">
        <v>8</v>
      </c>
      <c r="B59">
        <v>1.54143585092054E-3</v>
      </c>
      <c r="C59">
        <v>1.54143585092054E-3</v>
      </c>
      <c r="D59">
        <v>3.4254130020456501E-4</v>
      </c>
      <c r="E59">
        <v>0</v>
      </c>
      <c r="F59">
        <v>0</v>
      </c>
      <c r="G59">
        <v>0</v>
      </c>
      <c r="H59" s="5">
        <v>1.7762434284205799E-5</v>
      </c>
      <c r="I59" s="5">
        <v>4.4591984978445998E-9</v>
      </c>
      <c r="J59">
        <v>3.37570976171142E-4</v>
      </c>
      <c r="K59">
        <v>0.13846015972746001</v>
      </c>
      <c r="L59">
        <v>0.14007387303476199</v>
      </c>
      <c r="M59">
        <v>4.5166625081916902E-4</v>
      </c>
      <c r="N59" t="s">
        <v>52</v>
      </c>
      <c r="O59">
        <v>0.1</v>
      </c>
      <c r="P59">
        <v>11</v>
      </c>
      <c r="Q59">
        <v>1.6497294784823999E-3</v>
      </c>
      <c r="R59">
        <v>1.66895660069658E-3</v>
      </c>
      <c r="S59">
        <v>5.38152729188446E-6</v>
      </c>
      <c r="T59">
        <v>0</v>
      </c>
      <c r="U59">
        <v>0</v>
      </c>
      <c r="V59">
        <v>0</v>
      </c>
      <c r="W59">
        <v>1.6127801705222199E-3</v>
      </c>
      <c r="X59">
        <v>7.9537033492425895E-5</v>
      </c>
      <c r="Y59">
        <v>5.3461333771461197E-6</v>
      </c>
      <c r="Z59">
        <v>1.73325890938514E-3</v>
      </c>
      <c r="AA59">
        <v>7.4558246913040901E-2</v>
      </c>
      <c r="AB59">
        <v>1.6602968079419499E-6</v>
      </c>
      <c r="AC59">
        <v>0.1</v>
      </c>
      <c r="AD59">
        <v>100</v>
      </c>
      <c r="AE59">
        <v>11.004417585793099</v>
      </c>
      <c r="AF59">
        <v>92.358985913147194</v>
      </c>
      <c r="AG59">
        <v>19.688925842004402</v>
      </c>
      <c r="AH59">
        <f t="shared" si="46"/>
        <v>1.10044175857931</v>
      </c>
      <c r="AI59">
        <f t="shared" si="29"/>
        <v>1.9688925842004403</v>
      </c>
      <c r="AJ59">
        <f t="shared" si="30"/>
        <v>1.10044175857931</v>
      </c>
      <c r="AK59">
        <f t="shared" si="45"/>
        <v>1.9688925842004403</v>
      </c>
      <c r="AL59">
        <f t="shared" si="47"/>
        <v>0.61451205888412053</v>
      </c>
      <c r="AM59">
        <f t="shared" si="31"/>
        <v>0.48592969969518951</v>
      </c>
      <c r="AN59">
        <f t="shared" si="32"/>
        <v>0.61451205888412053</v>
      </c>
      <c r="AO59" s="5">
        <f t="shared" si="48"/>
        <v>1.7762434284205799E-3</v>
      </c>
      <c r="AP59" s="5">
        <f t="shared" si="49"/>
        <v>4.4591984978445997E-7</v>
      </c>
      <c r="AQ59" s="5">
        <f t="shared" si="50"/>
        <v>3.37570976171142E-2</v>
      </c>
      <c r="AR59">
        <f t="shared" si="51"/>
        <v>10</v>
      </c>
      <c r="AS59" s="5">
        <f t="shared" si="52"/>
        <v>0.154143585092054</v>
      </c>
      <c r="AT59" s="8">
        <f t="shared" si="53"/>
        <v>0.154143585092054</v>
      </c>
      <c r="AU59" s="5">
        <f t="shared" si="54"/>
        <v>3.4254130020456498E-2</v>
      </c>
      <c r="AV59" s="5">
        <f t="shared" si="55"/>
        <v>0.15236734166363342</v>
      </c>
      <c r="AW59" s="8">
        <f t="shared" si="56"/>
        <v>0.15414313917220421</v>
      </c>
      <c r="AX59" s="5">
        <f t="shared" si="57"/>
        <v>4.9703240334229848E-4</v>
      </c>
      <c r="AY59" s="5">
        <f t="shared" si="58"/>
        <v>0.14895474105026485</v>
      </c>
      <c r="AZ59">
        <f t="shared" si="59"/>
        <v>7.3459597559004802E-3</v>
      </c>
      <c r="BA59">
        <f t="shared" si="60"/>
        <v>4.9376345726964449E-4</v>
      </c>
      <c r="BB59" s="5">
        <f t="shared" si="61"/>
        <v>95.000000000001037</v>
      </c>
      <c r="BC59" s="5">
        <f t="shared" si="62"/>
        <v>0.15679446426343496</v>
      </c>
      <c r="BD59" s="5">
        <f t="shared" si="63"/>
        <v>0.30599608704233461</v>
      </c>
      <c r="BE59" s="16">
        <f t="shared" si="64"/>
        <v>0.31408269198413957</v>
      </c>
      <c r="BF59">
        <f t="shared" si="65"/>
        <v>3.4126006131877449E-3</v>
      </c>
      <c r="BG59">
        <f t="shared" si="66"/>
        <v>0.14679717943807161</v>
      </c>
      <c r="BH59">
        <f t="shared" si="67"/>
        <v>3.2689460727285682E-6</v>
      </c>
      <c r="BI59">
        <f t="shared" si="68"/>
        <v>0.30042936694073685</v>
      </c>
      <c r="BJ59">
        <f t="shared" si="69"/>
        <v>1.6684632172597036</v>
      </c>
      <c r="BK59">
        <f t="shared" si="70"/>
        <v>0.30042936694073685</v>
      </c>
      <c r="BL59">
        <f t="shared" si="34"/>
        <v>0.78635906663592636</v>
      </c>
      <c r="BM59">
        <f t="shared" si="35"/>
        <v>0.15362728408355616</v>
      </c>
      <c r="BN59">
        <f t="shared" si="36"/>
        <v>0.30042936694073685</v>
      </c>
      <c r="BO59" s="5">
        <f t="shared" si="71"/>
        <v>0.78635906663592636</v>
      </c>
      <c r="BP59" s="5">
        <f t="shared" si="72"/>
        <v>0.31408269198413957</v>
      </c>
      <c r="BQ59" s="4">
        <f t="shared" si="37"/>
        <v>2.2008835171586201</v>
      </c>
      <c r="BR59" s="5">
        <f t="shared" si="73"/>
        <v>0.13742916650325895</v>
      </c>
      <c r="BS59">
        <f t="shared" si="74"/>
        <v>6.2966426718676427</v>
      </c>
      <c r="BT59">
        <f t="shared" si="75"/>
        <v>5.996213304926906</v>
      </c>
      <c r="BU59">
        <f t="shared" si="38"/>
        <v>5.5102836052317166</v>
      </c>
      <c r="BV59">
        <f t="shared" si="39"/>
        <v>1.6684632172597036</v>
      </c>
      <c r="BW59">
        <f t="shared" si="40"/>
        <v>0.30042936694073685</v>
      </c>
      <c r="BX59" s="4">
        <f t="shared" si="41"/>
        <v>3.9377851684008807</v>
      </c>
      <c r="BY59">
        <f t="shared" si="42"/>
        <v>0.13956659053314566</v>
      </c>
      <c r="BZ59">
        <f t="shared" si="43"/>
        <v>23.537329692765393</v>
      </c>
      <c r="CA59">
        <f t="shared" si="44"/>
        <v>21.868866475505691</v>
      </c>
    </row>
    <row r="60" spans="1:79" x14ac:dyDescent="0.25">
      <c r="A60">
        <v>8</v>
      </c>
      <c r="B60">
        <v>1.54143585092054E-3</v>
      </c>
      <c r="C60">
        <v>1.54143585092054E-3</v>
      </c>
      <c r="D60">
        <v>3.4254130020456501E-4</v>
      </c>
      <c r="E60">
        <v>0</v>
      </c>
      <c r="F60">
        <v>0</v>
      </c>
      <c r="G60">
        <v>0</v>
      </c>
      <c r="H60" s="5">
        <v>1.7762434284205799E-5</v>
      </c>
      <c r="I60" s="5">
        <v>4.4591984978445998E-9</v>
      </c>
      <c r="J60">
        <v>3.37570976171142E-4</v>
      </c>
      <c r="K60">
        <v>0.13846015972746001</v>
      </c>
      <c r="L60">
        <v>0.14007387303476199</v>
      </c>
      <c r="M60">
        <v>4.5166625081916902E-4</v>
      </c>
      <c r="N60" t="s">
        <v>52</v>
      </c>
      <c r="O60">
        <v>0.1</v>
      </c>
      <c r="P60">
        <v>12</v>
      </c>
      <c r="Q60">
        <v>1.6497294784823999E-3</v>
      </c>
      <c r="R60">
        <v>1.66895660069658E-3</v>
      </c>
      <c r="S60">
        <v>5.38152729188446E-6</v>
      </c>
      <c r="T60">
        <v>0</v>
      </c>
      <c r="U60">
        <v>0</v>
      </c>
      <c r="V60">
        <v>0</v>
      </c>
      <c r="W60">
        <v>1.61278104761876E-3</v>
      </c>
      <c r="X60">
        <v>7.9537078850164199E-5</v>
      </c>
      <c r="Y60">
        <v>5.3461341824022602E-6</v>
      </c>
      <c r="Z60">
        <v>1.7332292441623099E-3</v>
      </c>
      <c r="AA60">
        <v>7.4558738550610695E-2</v>
      </c>
      <c r="AB60">
        <v>1.6602700294237901E-6</v>
      </c>
      <c r="AC60">
        <v>0.1</v>
      </c>
      <c r="AD60">
        <v>100</v>
      </c>
      <c r="AE60">
        <v>11.004417585793099</v>
      </c>
      <c r="AF60">
        <v>92.358985913147194</v>
      </c>
      <c r="AG60">
        <v>19.688795449878597</v>
      </c>
      <c r="AH60">
        <f t="shared" si="46"/>
        <v>1.10044175857931</v>
      </c>
      <c r="AI60">
        <f t="shared" si="29"/>
        <v>1.9688795449878598</v>
      </c>
      <c r="AJ60">
        <f t="shared" si="30"/>
        <v>1.10044175857931</v>
      </c>
      <c r="AK60">
        <f t="shared" si="45"/>
        <v>1.9688795449878598</v>
      </c>
      <c r="AL60">
        <f t="shared" si="47"/>
        <v>0.61451205888412053</v>
      </c>
      <c r="AM60">
        <f t="shared" si="31"/>
        <v>0.48592969969518951</v>
      </c>
      <c r="AN60">
        <f t="shared" si="32"/>
        <v>0.61451205888412053</v>
      </c>
      <c r="AO60" s="5">
        <f t="shared" si="48"/>
        <v>1.7762434284205799E-3</v>
      </c>
      <c r="AP60" s="5">
        <f t="shared" si="49"/>
        <v>4.4591984978445997E-7</v>
      </c>
      <c r="AQ60" s="5">
        <f t="shared" si="50"/>
        <v>3.37570976171142E-2</v>
      </c>
      <c r="AR60">
        <f t="shared" si="51"/>
        <v>10</v>
      </c>
      <c r="AS60" s="5">
        <f t="shared" si="52"/>
        <v>0.154143585092054</v>
      </c>
      <c r="AT60" s="8">
        <f t="shared" si="53"/>
        <v>0.154143585092054</v>
      </c>
      <c r="AU60" s="5">
        <f t="shared" si="54"/>
        <v>3.4254130020456498E-2</v>
      </c>
      <c r="AV60" s="5">
        <f t="shared" si="55"/>
        <v>0.15236734166363342</v>
      </c>
      <c r="AW60" s="8">
        <f t="shared" si="56"/>
        <v>0.15414313917220421</v>
      </c>
      <c r="AX60" s="5">
        <f t="shared" si="57"/>
        <v>4.9703240334229848E-4</v>
      </c>
      <c r="AY60" s="5">
        <f t="shared" si="58"/>
        <v>0.14895482205801183</v>
      </c>
      <c r="AZ60">
        <f t="shared" si="59"/>
        <v>7.3459639450951927E-3</v>
      </c>
      <c r="BA60">
        <f t="shared" si="60"/>
        <v>4.9376353164228503E-4</v>
      </c>
      <c r="BB60" s="5">
        <f t="shared" si="61"/>
        <v>95</v>
      </c>
      <c r="BC60" s="5">
        <f t="shared" si="62"/>
        <v>0.15679454953474931</v>
      </c>
      <c r="BD60" s="5">
        <f t="shared" si="63"/>
        <v>0.30599625335858227</v>
      </c>
      <c r="BE60" s="16">
        <f t="shared" si="64"/>
        <v>0.31408286260114088</v>
      </c>
      <c r="BF60">
        <f t="shared" si="65"/>
        <v>3.412519605605941E-3</v>
      </c>
      <c r="BG60">
        <f t="shared" si="66"/>
        <v>0.14679717523239519</v>
      </c>
      <c r="BH60">
        <f t="shared" si="67"/>
        <v>3.2688717000888923E-6</v>
      </c>
      <c r="BI60">
        <f t="shared" si="68"/>
        <v>0.30042919629110248</v>
      </c>
      <c r="BJ60">
        <f t="shared" si="69"/>
        <v>1.6684503486967572</v>
      </c>
      <c r="BK60">
        <f t="shared" si="70"/>
        <v>0.30042919629110248</v>
      </c>
      <c r="BL60">
        <f t="shared" si="34"/>
        <v>0.78635889598629194</v>
      </c>
      <c r="BM60">
        <f t="shared" si="35"/>
        <v>0.1536271177511572</v>
      </c>
      <c r="BN60">
        <f t="shared" si="36"/>
        <v>0.30042919629110248</v>
      </c>
      <c r="BO60" s="5">
        <f t="shared" si="71"/>
        <v>0.78635889598629194</v>
      </c>
      <c r="BP60" s="5">
        <f t="shared" si="72"/>
        <v>0.31408286260114088</v>
      </c>
      <c r="BQ60" s="4">
        <f t="shared" si="37"/>
        <v>2.2008835171586201</v>
      </c>
      <c r="BR60" s="5">
        <f t="shared" si="73"/>
        <v>0.13742923183467731</v>
      </c>
      <c r="BS60">
        <f t="shared" si="74"/>
        <v>6.2966383121068228</v>
      </c>
      <c r="BT60">
        <f t="shared" si="75"/>
        <v>5.99620911581572</v>
      </c>
      <c r="BU60">
        <f t="shared" si="38"/>
        <v>5.5102794161205306</v>
      </c>
      <c r="BV60">
        <f t="shared" si="39"/>
        <v>1.6684503486967572</v>
      </c>
      <c r="BW60">
        <f t="shared" si="40"/>
        <v>0.30042919629110248</v>
      </c>
      <c r="BX60" s="4">
        <f t="shared" si="41"/>
        <v>3.9377590899757196</v>
      </c>
      <c r="BY60">
        <f t="shared" si="42"/>
        <v>0.1395664513564405</v>
      </c>
      <c r="BZ60">
        <f t="shared" si="43"/>
        <v>23.537015747340039</v>
      </c>
      <c r="CA60">
        <f t="shared" si="44"/>
        <v>21.86856539864328</v>
      </c>
    </row>
    <row r="61" spans="1:79" x14ac:dyDescent="0.25">
      <c r="A61">
        <v>8</v>
      </c>
      <c r="B61">
        <v>1.54143585092054E-3</v>
      </c>
      <c r="C61">
        <v>1.54143585092054E-3</v>
      </c>
      <c r="D61">
        <v>3.4254130020456501E-4</v>
      </c>
      <c r="E61">
        <v>0</v>
      </c>
      <c r="F61">
        <v>0</v>
      </c>
      <c r="G61">
        <v>0</v>
      </c>
      <c r="H61" s="5">
        <v>1.7762434284205799E-5</v>
      </c>
      <c r="I61" s="5">
        <v>4.4591984978445998E-9</v>
      </c>
      <c r="J61">
        <v>3.37570976171142E-4</v>
      </c>
      <c r="K61">
        <v>0.13846015972746001</v>
      </c>
      <c r="L61">
        <v>0.14007387303476199</v>
      </c>
      <c r="M61">
        <v>4.5166625081916902E-4</v>
      </c>
      <c r="N61" t="s">
        <v>52</v>
      </c>
      <c r="O61">
        <v>0.1</v>
      </c>
      <c r="P61">
        <v>13</v>
      </c>
      <c r="Q61">
        <v>1.6497294784823999E-3</v>
      </c>
      <c r="R61">
        <v>1.66895660069658E-3</v>
      </c>
      <c r="S61">
        <v>5.38152729188446E-6</v>
      </c>
      <c r="T61">
        <v>0</v>
      </c>
      <c r="U61">
        <v>0</v>
      </c>
      <c r="V61">
        <v>0</v>
      </c>
      <c r="W61">
        <v>1.6127812941209201E-3</v>
      </c>
      <c r="X61">
        <v>7.9537091597651401E-5</v>
      </c>
      <c r="Y61">
        <v>5.34613440871419E-6</v>
      </c>
      <c r="Z61">
        <v>1.73322090687147E-3</v>
      </c>
      <c r="AA61">
        <v>7.4558876723361894E-2</v>
      </c>
      <c r="AB61">
        <v>1.6602625034295099E-6</v>
      </c>
      <c r="AC61">
        <v>0.1</v>
      </c>
      <c r="AD61">
        <v>100</v>
      </c>
      <c r="AE61">
        <v>11.004417585793099</v>
      </c>
      <c r="AF61">
        <v>92.358985913147194</v>
      </c>
      <c r="AG61">
        <v>19.688758804081399</v>
      </c>
      <c r="AH61">
        <f t="shared" si="46"/>
        <v>1.10044175857931</v>
      </c>
      <c r="AI61">
        <f t="shared" si="29"/>
        <v>1.9688758804081399</v>
      </c>
      <c r="AJ61">
        <f t="shared" si="30"/>
        <v>1.10044175857931</v>
      </c>
      <c r="AK61">
        <f t="shared" si="45"/>
        <v>1.9688758804081399</v>
      </c>
      <c r="AL61">
        <f t="shared" si="47"/>
        <v>0.61451205888412053</v>
      </c>
      <c r="AM61">
        <f t="shared" si="31"/>
        <v>0.48592969969518951</v>
      </c>
      <c r="AN61">
        <f t="shared" si="32"/>
        <v>0.61451205888412053</v>
      </c>
      <c r="AO61" s="5">
        <f t="shared" si="48"/>
        <v>1.7762434284205799E-3</v>
      </c>
      <c r="AP61" s="5">
        <f t="shared" si="49"/>
        <v>4.4591984978445997E-7</v>
      </c>
      <c r="AQ61" s="5">
        <f t="shared" si="50"/>
        <v>3.37570976171142E-2</v>
      </c>
      <c r="AR61">
        <f t="shared" si="51"/>
        <v>10</v>
      </c>
      <c r="AS61" s="5">
        <f t="shared" si="52"/>
        <v>0.154143585092054</v>
      </c>
      <c r="AT61" s="8">
        <f t="shared" si="53"/>
        <v>0.154143585092054</v>
      </c>
      <c r="AU61" s="5">
        <f t="shared" si="54"/>
        <v>3.4254130020456498E-2</v>
      </c>
      <c r="AV61" s="5">
        <f t="shared" si="55"/>
        <v>0.15236734166363342</v>
      </c>
      <c r="AW61" s="8">
        <f t="shared" si="56"/>
        <v>0.15414313917220421</v>
      </c>
      <c r="AX61" s="5">
        <f t="shared" si="57"/>
        <v>4.9703240334229848E-4</v>
      </c>
      <c r="AY61" s="5">
        <f t="shared" si="58"/>
        <v>0.14895484482470137</v>
      </c>
      <c r="AZ61">
        <f t="shared" si="59"/>
        <v>7.3459651224401842E-3</v>
      </c>
      <c r="BA61">
        <f t="shared" si="60"/>
        <v>4.9376355254422536E-4</v>
      </c>
      <c r="BB61" s="5">
        <f t="shared" si="61"/>
        <v>94.999999999999929</v>
      </c>
      <c r="BC61" s="5">
        <f t="shared" si="62"/>
        <v>0.15679457349968576</v>
      </c>
      <c r="BD61" s="5">
        <f t="shared" si="63"/>
        <v>0.30599630010065926</v>
      </c>
      <c r="BE61" s="16">
        <f t="shared" si="64"/>
        <v>0.31408291055191578</v>
      </c>
      <c r="BF61">
        <f t="shared" si="65"/>
        <v>3.4124968389583599E-3</v>
      </c>
      <c r="BG61">
        <f t="shared" si="66"/>
        <v>0.14679717405095111</v>
      </c>
      <c r="BH61">
        <f t="shared" si="67"/>
        <v>3.2688507981483987E-6</v>
      </c>
      <c r="BI61">
        <f t="shared" si="68"/>
        <v>0.3004291483322134</v>
      </c>
      <c r="BJ61">
        <f t="shared" si="69"/>
        <v>1.6684467320759264</v>
      </c>
      <c r="BK61">
        <f t="shared" si="70"/>
        <v>0.3004291483322134</v>
      </c>
      <c r="BL61">
        <f t="shared" si="34"/>
        <v>0.78635884802740286</v>
      </c>
      <c r="BM61">
        <f t="shared" si="35"/>
        <v>0.15362707100506506</v>
      </c>
      <c r="BN61">
        <f t="shared" si="36"/>
        <v>0.3004291483322134</v>
      </c>
      <c r="BO61" s="5">
        <f t="shared" si="71"/>
        <v>0.78635884802740286</v>
      </c>
      <c r="BP61" s="5">
        <f t="shared" si="72"/>
        <v>0.31408291055191578</v>
      </c>
      <c r="BQ61" s="4">
        <f t="shared" si="37"/>
        <v>2.2008835171586201</v>
      </c>
      <c r="BR61" s="5">
        <f t="shared" si="73"/>
        <v>0.1374292501956369</v>
      </c>
      <c r="BS61">
        <f t="shared" si="74"/>
        <v>6.2966370868342887</v>
      </c>
      <c r="BT61">
        <f t="shared" si="75"/>
        <v>5.9962079385020752</v>
      </c>
      <c r="BU61">
        <f t="shared" si="38"/>
        <v>5.5102782388068858</v>
      </c>
      <c r="BV61">
        <f t="shared" si="39"/>
        <v>1.6684467320759264</v>
      </c>
      <c r="BW61">
        <f t="shared" si="40"/>
        <v>0.3004291483322134</v>
      </c>
      <c r="BX61" s="4">
        <f t="shared" si="41"/>
        <v>3.9377517608162798</v>
      </c>
      <c r="BY61">
        <f t="shared" si="42"/>
        <v>0.13956641224210886</v>
      </c>
      <c r="BZ61">
        <f t="shared" si="43"/>
        <v>23.53692751542237</v>
      </c>
      <c r="CA61">
        <f t="shared" si="44"/>
        <v>21.868480783346442</v>
      </c>
    </row>
    <row r="62" spans="1:79" x14ac:dyDescent="0.25">
      <c r="A62">
        <v>9</v>
      </c>
      <c r="B62">
        <v>1.54143585092054E-3</v>
      </c>
      <c r="C62">
        <v>1.54143585092054E-3</v>
      </c>
      <c r="D62">
        <v>3.4254130020456501E-4</v>
      </c>
      <c r="E62">
        <v>0</v>
      </c>
      <c r="F62">
        <v>0</v>
      </c>
      <c r="G62">
        <v>0</v>
      </c>
      <c r="H62" s="5">
        <v>1.7768596981705501E-5</v>
      </c>
      <c r="I62" s="5">
        <v>1.5331283704498101E-9</v>
      </c>
      <c r="J62">
        <v>3.3763247208936601E-4</v>
      </c>
      <c r="K62">
        <v>0.13890601070001499</v>
      </c>
      <c r="L62">
        <v>0.14052575540227799</v>
      </c>
      <c r="M62">
        <v>4.4751616793740602E-4</v>
      </c>
      <c r="N62" t="s">
        <v>52</v>
      </c>
      <c r="O62">
        <v>0.1</v>
      </c>
      <c r="P62">
        <v>4</v>
      </c>
      <c r="Q62">
        <v>1.6497485970141401E-3</v>
      </c>
      <c r="R62">
        <v>1.6689858606617799E-3</v>
      </c>
      <c r="S62">
        <v>5.3150268046377499E-6</v>
      </c>
      <c r="T62">
        <v>0</v>
      </c>
      <c r="U62">
        <v>0</v>
      </c>
      <c r="V62">
        <v>0</v>
      </c>
      <c r="W62">
        <v>1.6048321319618701E-3</v>
      </c>
      <c r="X62">
        <v>7.9192002642469804E-5</v>
      </c>
      <c r="Y62">
        <v>5.2728464102818699E-6</v>
      </c>
      <c r="Z62">
        <v>1.9874961185591101E-3</v>
      </c>
      <c r="AA62">
        <v>7.0346344441502298E-2</v>
      </c>
      <c r="AB62">
        <v>1.86642849011818E-6</v>
      </c>
      <c r="AC62">
        <v>0.1</v>
      </c>
      <c r="AD62">
        <v>100</v>
      </c>
      <c r="AE62">
        <v>10.969051996096999</v>
      </c>
      <c r="AF62">
        <v>92.357542033771196</v>
      </c>
      <c r="AG62">
        <v>20.872364334642199</v>
      </c>
      <c r="AH62">
        <f t="shared" si="46"/>
        <v>1.0969051996096999</v>
      </c>
      <c r="AI62">
        <f t="shared" si="29"/>
        <v>2.0872364334642199</v>
      </c>
      <c r="AJ62">
        <f t="shared" si="30"/>
        <v>1.0969051996096999</v>
      </c>
      <c r="AK62">
        <f t="shared" si="45"/>
        <v>2.0872364334642199</v>
      </c>
      <c r="AL62">
        <f t="shared" si="47"/>
        <v>0.61449296278201315</v>
      </c>
      <c r="AM62">
        <f t="shared" si="31"/>
        <v>0.48241223682768675</v>
      </c>
      <c r="AN62">
        <f t="shared" si="32"/>
        <v>0.61449296278201315</v>
      </c>
      <c r="AO62" s="5">
        <f t="shared" si="48"/>
        <v>1.77685969817055E-3</v>
      </c>
      <c r="AP62" s="5">
        <f t="shared" si="49"/>
        <v>1.5331283704498101E-7</v>
      </c>
      <c r="AQ62" s="5">
        <f t="shared" si="50"/>
        <v>3.37632472089366E-2</v>
      </c>
      <c r="AR62">
        <f t="shared" si="51"/>
        <v>10</v>
      </c>
      <c r="AS62" s="5">
        <f t="shared" si="52"/>
        <v>0.154143585092054</v>
      </c>
      <c r="AT62" s="8">
        <f t="shared" si="53"/>
        <v>0.154143585092054</v>
      </c>
      <c r="AU62" s="5">
        <f t="shared" si="54"/>
        <v>3.4254130020456498E-2</v>
      </c>
      <c r="AV62" s="5">
        <f t="shared" si="55"/>
        <v>0.15236672539388346</v>
      </c>
      <c r="AW62" s="8">
        <f t="shared" si="56"/>
        <v>0.15414343177921697</v>
      </c>
      <c r="AX62" s="5">
        <f t="shared" si="57"/>
        <v>4.9088281151989793E-4</v>
      </c>
      <c r="AY62" s="5">
        <f t="shared" si="58"/>
        <v>0.14821835108481507</v>
      </c>
      <c r="AZ62">
        <f t="shared" si="59"/>
        <v>7.3139787127904244E-3</v>
      </c>
      <c r="BA62">
        <f t="shared" si="60"/>
        <v>4.8698713397522737E-4</v>
      </c>
      <c r="BB62" s="5">
        <f t="shared" si="61"/>
        <v>94.999999999880387</v>
      </c>
      <c r="BC62" s="5">
        <f t="shared" si="62"/>
        <v>0.15601931693158072</v>
      </c>
      <c r="BD62" s="5">
        <f t="shared" si="63"/>
        <v>0.3044811615833834</v>
      </c>
      <c r="BE62" s="16">
        <f t="shared" si="64"/>
        <v>0.31252562099713671</v>
      </c>
      <c r="BF62">
        <f t="shared" si="65"/>
        <v>4.1483743100252969E-3</v>
      </c>
      <c r="BG62">
        <f t="shared" si="66"/>
        <v>0.14682945307932682</v>
      </c>
      <c r="BH62">
        <f t="shared" si="67"/>
        <v>3.8956775450302789E-6</v>
      </c>
      <c r="BI62">
        <f t="shared" si="68"/>
        <v>0.30196734181133933</v>
      </c>
      <c r="BJ62">
        <f t="shared" si="69"/>
        <v>1.7852690916528806</v>
      </c>
      <c r="BK62">
        <f t="shared" si="70"/>
        <v>0.30196734181133933</v>
      </c>
      <c r="BL62">
        <f t="shared" si="34"/>
        <v>0.78437957863902608</v>
      </c>
      <c r="BM62">
        <f t="shared" si="35"/>
        <v>0.15513204521569496</v>
      </c>
      <c r="BN62">
        <f t="shared" si="36"/>
        <v>0.30196734181133933</v>
      </c>
      <c r="BO62" s="5">
        <f t="shared" si="71"/>
        <v>0.78437957863902608</v>
      </c>
      <c r="BP62" s="5">
        <f t="shared" si="72"/>
        <v>0.31252562099713671</v>
      </c>
      <c r="BQ62" s="4">
        <f t="shared" si="37"/>
        <v>2.1938103992193998</v>
      </c>
      <c r="BR62" s="5">
        <f t="shared" si="73"/>
        <v>0.13677774086069763</v>
      </c>
      <c r="BS62">
        <f t="shared" si="74"/>
        <v>6.2904243984632275</v>
      </c>
      <c r="BT62">
        <f t="shared" si="75"/>
        <v>5.988457056651888</v>
      </c>
      <c r="BU62">
        <f t="shared" si="38"/>
        <v>5.5060448198242016</v>
      </c>
      <c r="BV62">
        <f t="shared" si="39"/>
        <v>1.7852690916528806</v>
      </c>
      <c r="BW62">
        <f t="shared" si="40"/>
        <v>0.30196734181133933</v>
      </c>
      <c r="BX62" s="4">
        <f t="shared" si="41"/>
        <v>4.1744728669284399</v>
      </c>
      <c r="BY62">
        <f t="shared" si="42"/>
        <v>0.14079876155039908</v>
      </c>
      <c r="BZ62">
        <f t="shared" si="43"/>
        <v>26.465280309313233</v>
      </c>
      <c r="CA62">
        <f t="shared" si="44"/>
        <v>24.680011217660351</v>
      </c>
    </row>
    <row r="63" spans="1:79" x14ac:dyDescent="0.25">
      <c r="A63">
        <v>9</v>
      </c>
      <c r="B63">
        <v>1.54143585092054E-3</v>
      </c>
      <c r="C63">
        <v>1.54143585092054E-3</v>
      </c>
      <c r="D63">
        <v>3.4254130020456501E-4</v>
      </c>
      <c r="E63">
        <v>0</v>
      </c>
      <c r="F63">
        <v>0</v>
      </c>
      <c r="G63">
        <v>0</v>
      </c>
      <c r="H63" s="5">
        <v>1.7768596981705501E-5</v>
      </c>
      <c r="I63" s="5">
        <v>1.5331283704498101E-9</v>
      </c>
      <c r="J63">
        <v>3.3763247208936601E-4</v>
      </c>
      <c r="K63">
        <v>0.13890601070001499</v>
      </c>
      <c r="L63">
        <v>0.14052575540227799</v>
      </c>
      <c r="M63">
        <v>4.4751616793740602E-4</v>
      </c>
      <c r="N63" t="s">
        <v>52</v>
      </c>
      <c r="O63">
        <v>0.1</v>
      </c>
      <c r="P63">
        <v>5</v>
      </c>
      <c r="Q63">
        <v>1.6497485970141401E-3</v>
      </c>
      <c r="R63">
        <v>1.6689858606617799E-3</v>
      </c>
      <c r="S63">
        <v>5.3150268046377499E-6</v>
      </c>
      <c r="T63">
        <v>0</v>
      </c>
      <c r="U63">
        <v>0</v>
      </c>
      <c r="V63">
        <v>0</v>
      </c>
      <c r="W63">
        <v>1.6104360946851499E-3</v>
      </c>
      <c r="X63">
        <v>7.9481866578997695E-5</v>
      </c>
      <c r="Y63">
        <v>5.2779279086813702E-6</v>
      </c>
      <c r="Z63">
        <v>1.8118422491867001E-3</v>
      </c>
      <c r="AA63">
        <v>7.32573690584577E-2</v>
      </c>
      <c r="AB63">
        <v>1.7098211283888001E-6</v>
      </c>
      <c r="AC63">
        <v>0.1</v>
      </c>
      <c r="AD63">
        <v>100</v>
      </c>
      <c r="AE63">
        <v>10.969051996096999</v>
      </c>
      <c r="AF63">
        <v>92.357542033771196</v>
      </c>
      <c r="AG63">
        <v>20.039305783583899</v>
      </c>
      <c r="AH63">
        <f t="shared" si="46"/>
        <v>1.0969051996096999</v>
      </c>
      <c r="AI63">
        <f t="shared" si="29"/>
        <v>2.0039305783583901</v>
      </c>
      <c r="AJ63">
        <f t="shared" si="30"/>
        <v>1.0969051996096999</v>
      </c>
      <c r="AK63">
        <f t="shared" si="45"/>
        <v>2.0039305783583901</v>
      </c>
      <c r="AL63">
        <f t="shared" si="47"/>
        <v>0.61449296278201315</v>
      </c>
      <c r="AM63">
        <f t="shared" si="31"/>
        <v>0.48241223682768675</v>
      </c>
      <c r="AN63">
        <f t="shared" si="32"/>
        <v>0.61449296278201315</v>
      </c>
      <c r="AO63" s="5">
        <f t="shared" si="48"/>
        <v>1.77685969817055E-3</v>
      </c>
      <c r="AP63" s="5">
        <f t="shared" si="49"/>
        <v>1.5331283704498101E-7</v>
      </c>
      <c r="AQ63" s="5">
        <f t="shared" si="50"/>
        <v>3.37632472089366E-2</v>
      </c>
      <c r="AR63">
        <f t="shared" si="51"/>
        <v>10</v>
      </c>
      <c r="AS63" s="5">
        <f t="shared" si="52"/>
        <v>0.154143585092054</v>
      </c>
      <c r="AT63" s="8">
        <f t="shared" si="53"/>
        <v>0.154143585092054</v>
      </c>
      <c r="AU63" s="5">
        <f t="shared" si="54"/>
        <v>3.4254130020456498E-2</v>
      </c>
      <c r="AV63" s="5">
        <f t="shared" si="55"/>
        <v>0.15236672539388346</v>
      </c>
      <c r="AW63" s="8">
        <f t="shared" si="56"/>
        <v>0.15414343177921697</v>
      </c>
      <c r="AX63" s="5">
        <f t="shared" si="57"/>
        <v>4.9088281151989793E-4</v>
      </c>
      <c r="AY63" s="5">
        <f t="shared" si="58"/>
        <v>0.14873591930758606</v>
      </c>
      <c r="AZ63">
        <f t="shared" si="59"/>
        <v>7.3407498334923738E-3</v>
      </c>
      <c r="BA63">
        <f t="shared" si="60"/>
        <v>4.8745644867725376E-4</v>
      </c>
      <c r="BB63" s="5">
        <f t="shared" si="61"/>
        <v>94.999999998287066</v>
      </c>
      <c r="BC63" s="5">
        <f t="shared" si="62"/>
        <v>0.15656412558975569</v>
      </c>
      <c r="BD63" s="5">
        <f t="shared" si="63"/>
        <v>0.30554377312168035</v>
      </c>
      <c r="BE63" s="16">
        <f t="shared" si="64"/>
        <v>0.31361570762818863</v>
      </c>
      <c r="BF63">
        <f t="shared" si="65"/>
        <v>3.6308060863068699E-3</v>
      </c>
      <c r="BG63">
        <f t="shared" si="66"/>
        <v>0.14680268194632917</v>
      </c>
      <c r="BH63">
        <f t="shared" si="67"/>
        <v>3.4263628427015631E-6</v>
      </c>
      <c r="BI63">
        <f t="shared" si="68"/>
        <v>0.3008772551538002</v>
      </c>
      <c r="BJ63">
        <f t="shared" si="69"/>
        <v>1.7030533232045899</v>
      </c>
      <c r="BK63">
        <f t="shared" si="70"/>
        <v>0.3008772551538002</v>
      </c>
      <c r="BL63">
        <f t="shared" si="34"/>
        <v>0.78328949198148701</v>
      </c>
      <c r="BM63">
        <f t="shared" si="35"/>
        <v>0.15406943366320697</v>
      </c>
      <c r="BN63">
        <f t="shared" si="36"/>
        <v>0.3008772551538002</v>
      </c>
      <c r="BO63" s="5">
        <f t="shared" si="71"/>
        <v>0.78328949198148701</v>
      </c>
      <c r="BP63" s="5">
        <f t="shared" si="72"/>
        <v>0.31361570762818863</v>
      </c>
      <c r="BQ63" s="4">
        <f t="shared" si="37"/>
        <v>2.1938103992193998</v>
      </c>
      <c r="BR63" s="5">
        <f t="shared" si="73"/>
        <v>0.1371951498140582</v>
      </c>
      <c r="BS63">
        <f t="shared" si="74"/>
        <v>6.262570635467851</v>
      </c>
      <c r="BT63">
        <f t="shared" si="75"/>
        <v>5.9616933803140508</v>
      </c>
      <c r="BU63">
        <f t="shared" si="38"/>
        <v>5.4792811434863644</v>
      </c>
      <c r="BV63">
        <f t="shared" si="39"/>
        <v>1.7030533232045899</v>
      </c>
      <c r="BW63">
        <f t="shared" si="40"/>
        <v>0.3008772551538002</v>
      </c>
      <c r="BX63" s="4">
        <f t="shared" si="41"/>
        <v>4.0078611567167801</v>
      </c>
      <c r="BY63">
        <f t="shared" si="42"/>
        <v>0.13993356623232153</v>
      </c>
      <c r="BZ63">
        <f t="shared" si="43"/>
        <v>24.38872046810075</v>
      </c>
      <c r="CA63">
        <f t="shared" si="44"/>
        <v>22.685667144896161</v>
      </c>
    </row>
    <row r="64" spans="1:79" x14ac:dyDescent="0.25">
      <c r="A64">
        <v>9</v>
      </c>
      <c r="B64">
        <v>1.54143585092054E-3</v>
      </c>
      <c r="C64">
        <v>1.54143585092054E-3</v>
      </c>
      <c r="D64">
        <v>3.4254130020456501E-4</v>
      </c>
      <c r="E64">
        <v>0</v>
      </c>
      <c r="F64">
        <v>0</v>
      </c>
      <c r="G64">
        <v>0</v>
      </c>
      <c r="H64" s="5">
        <v>1.7768596981705501E-5</v>
      </c>
      <c r="I64" s="5">
        <v>1.5331283704498101E-9</v>
      </c>
      <c r="J64">
        <v>3.3763247208936601E-4</v>
      </c>
      <c r="K64">
        <v>0.13890601070001499</v>
      </c>
      <c r="L64">
        <v>0.14052575540227799</v>
      </c>
      <c r="M64">
        <v>4.4751616793740602E-4</v>
      </c>
      <c r="N64" t="s">
        <v>52</v>
      </c>
      <c r="O64">
        <v>0.1</v>
      </c>
      <c r="P64">
        <v>6</v>
      </c>
      <c r="Q64">
        <v>1.6497485970141401E-3</v>
      </c>
      <c r="R64">
        <v>1.6689858606617799E-3</v>
      </c>
      <c r="S64">
        <v>5.3150268046377499E-6</v>
      </c>
      <c r="T64">
        <v>0</v>
      </c>
      <c r="U64">
        <v>0</v>
      </c>
      <c r="V64">
        <v>0</v>
      </c>
      <c r="W64">
        <v>1.6121184009261799E-3</v>
      </c>
      <c r="X64">
        <v>7.9568883775184404E-5</v>
      </c>
      <c r="Y64">
        <v>5.27945332060777E-6</v>
      </c>
      <c r="Z64">
        <v>1.7562244702796299E-3</v>
      </c>
      <c r="AA64">
        <v>7.4179071024813498E-2</v>
      </c>
      <c r="AB64">
        <v>1.6602364494864499E-6</v>
      </c>
      <c r="AC64">
        <v>0.1</v>
      </c>
      <c r="AD64">
        <v>100</v>
      </c>
      <c r="AE64">
        <v>10.969051996096999</v>
      </c>
      <c r="AF64">
        <v>92.357542033771196</v>
      </c>
      <c r="AG64">
        <v>19.789226694805201</v>
      </c>
      <c r="AH64">
        <f t="shared" si="46"/>
        <v>1.0969051996096999</v>
      </c>
      <c r="AI64">
        <f t="shared" si="29"/>
        <v>1.9789226694805202</v>
      </c>
      <c r="AJ64">
        <f t="shared" si="30"/>
        <v>1.0969051996096999</v>
      </c>
      <c r="AK64">
        <f t="shared" si="45"/>
        <v>1.9789226694805202</v>
      </c>
      <c r="AL64">
        <f t="shared" si="47"/>
        <v>0.61449296278201315</v>
      </c>
      <c r="AM64">
        <f t="shared" si="31"/>
        <v>0.48241223682768675</v>
      </c>
      <c r="AN64">
        <f t="shared" si="32"/>
        <v>0.61449296278201315</v>
      </c>
      <c r="AO64" s="5">
        <f t="shared" si="48"/>
        <v>1.77685969817055E-3</v>
      </c>
      <c r="AP64" s="5">
        <f t="shared" si="49"/>
        <v>1.5331283704498101E-7</v>
      </c>
      <c r="AQ64" s="5">
        <f t="shared" si="50"/>
        <v>3.37632472089366E-2</v>
      </c>
      <c r="AR64">
        <f t="shared" si="51"/>
        <v>10</v>
      </c>
      <c r="AS64" s="5">
        <f t="shared" si="52"/>
        <v>0.154143585092054</v>
      </c>
      <c r="AT64" s="8">
        <f t="shared" si="53"/>
        <v>0.154143585092054</v>
      </c>
      <c r="AU64" s="5">
        <f t="shared" si="54"/>
        <v>3.4254130020456498E-2</v>
      </c>
      <c r="AV64" s="5">
        <f t="shared" si="55"/>
        <v>0.15236672539388346</v>
      </c>
      <c r="AW64" s="8">
        <f t="shared" si="56"/>
        <v>0.15414343177921697</v>
      </c>
      <c r="AX64" s="5">
        <f t="shared" si="57"/>
        <v>4.9088281151989793E-4</v>
      </c>
      <c r="AY64" s="5">
        <f t="shared" si="58"/>
        <v>0.14889129297695566</v>
      </c>
      <c r="AZ64">
        <f t="shared" si="59"/>
        <v>7.3487865278468482E-3</v>
      </c>
      <c r="BA64">
        <f t="shared" si="60"/>
        <v>4.8759733197336502E-4</v>
      </c>
      <c r="BB64" s="5">
        <f t="shared" si="61"/>
        <v>94.999999988526966</v>
      </c>
      <c r="BC64" s="5">
        <f t="shared" si="62"/>
        <v>0.15672767683677588</v>
      </c>
      <c r="BD64" s="5">
        <f t="shared" si="63"/>
        <v>0.30586276847971827</v>
      </c>
      <c r="BE64" s="16">
        <f t="shared" si="64"/>
        <v>0.31394295100552511</v>
      </c>
      <c r="BF64">
        <f t="shared" si="65"/>
        <v>3.4754324169327779E-3</v>
      </c>
      <c r="BG64">
        <f t="shared" si="66"/>
        <v>0.14679464525200903</v>
      </c>
      <c r="BH64">
        <f t="shared" si="67"/>
        <v>3.2854795465865863E-6</v>
      </c>
      <c r="BI64">
        <f t="shared" si="68"/>
        <v>0.30055001177652335</v>
      </c>
      <c r="BJ64">
        <f t="shared" si="69"/>
        <v>1.6783726577039968</v>
      </c>
      <c r="BK64">
        <f t="shared" si="70"/>
        <v>0.30055001177652335</v>
      </c>
      <c r="BL64">
        <f t="shared" si="34"/>
        <v>0.78296224860421004</v>
      </c>
      <c r="BM64">
        <f t="shared" si="35"/>
        <v>0.15375043830519447</v>
      </c>
      <c r="BN64">
        <f t="shared" si="36"/>
        <v>0.30055001177652335</v>
      </c>
      <c r="BO64" s="5">
        <f t="shared" si="71"/>
        <v>0.78296224860421004</v>
      </c>
      <c r="BP64" s="5">
        <f t="shared" si="72"/>
        <v>0.31394295100552511</v>
      </c>
      <c r="BQ64" s="4">
        <f t="shared" si="37"/>
        <v>2.1938103992193998</v>
      </c>
      <c r="BR64" s="5">
        <f t="shared" si="73"/>
        <v>0.13732038492058518</v>
      </c>
      <c r="BS64">
        <f t="shared" si="74"/>
        <v>6.2542452243251443</v>
      </c>
      <c r="BT64">
        <f t="shared" si="75"/>
        <v>5.9536952125486211</v>
      </c>
      <c r="BU64">
        <f t="shared" si="38"/>
        <v>5.4712829757209347</v>
      </c>
      <c r="BV64">
        <f t="shared" si="39"/>
        <v>1.6783726577039968</v>
      </c>
      <c r="BW64">
        <f t="shared" si="40"/>
        <v>0.30055001177652335</v>
      </c>
      <c r="BX64" s="4">
        <f t="shared" si="41"/>
        <v>3.9578453389610404</v>
      </c>
      <c r="BY64">
        <f t="shared" si="42"/>
        <v>0.1396688617730584</v>
      </c>
      <c r="BZ64">
        <f t="shared" si="43"/>
        <v>23.780316227989683</v>
      </c>
      <c r="CA64">
        <f t="shared" si="44"/>
        <v>22.101943570285687</v>
      </c>
    </row>
    <row r="65" spans="1:79" x14ac:dyDescent="0.25">
      <c r="A65" s="3">
        <v>9</v>
      </c>
      <c r="B65" s="3">
        <v>1.54143585092054E-3</v>
      </c>
      <c r="C65" s="3">
        <v>1.54143585092054E-3</v>
      </c>
      <c r="D65" s="3">
        <v>3.4254130020456501E-4</v>
      </c>
      <c r="E65" s="3">
        <v>0</v>
      </c>
      <c r="F65" s="3">
        <v>0</v>
      </c>
      <c r="G65" s="3">
        <v>0</v>
      </c>
      <c r="H65" s="6">
        <v>1.7768596981705501E-5</v>
      </c>
      <c r="I65" s="6">
        <v>1.5331283704498101E-9</v>
      </c>
      <c r="J65" s="3">
        <v>3.3763247208936601E-4</v>
      </c>
      <c r="K65" s="3">
        <v>0.13890601070001499</v>
      </c>
      <c r="L65" s="3">
        <v>0.14052575540227799</v>
      </c>
      <c r="M65" s="3">
        <v>4.4751616793740602E-4</v>
      </c>
      <c r="N65" s="3" t="s">
        <v>52</v>
      </c>
      <c r="O65" s="3">
        <v>0.1</v>
      </c>
      <c r="P65">
        <v>7</v>
      </c>
      <c r="Q65">
        <v>1.6497485970141401E-3</v>
      </c>
      <c r="R65">
        <v>1.6689858606617799E-3</v>
      </c>
      <c r="S65">
        <v>5.3150268046377499E-6</v>
      </c>
      <c r="T65">
        <v>0</v>
      </c>
      <c r="U65">
        <v>0</v>
      </c>
      <c r="V65">
        <v>0</v>
      </c>
      <c r="W65">
        <v>1.6126074648206801E-3</v>
      </c>
      <c r="X65">
        <v>7.9594180322832604E-5</v>
      </c>
      <c r="Y65">
        <v>5.2798967729928503E-6</v>
      </c>
      <c r="Z65">
        <v>1.73979110112154E-3</v>
      </c>
      <c r="AA65">
        <v>7.4451405715099297E-2</v>
      </c>
      <c r="AB65">
        <v>1.64558571126931E-6</v>
      </c>
      <c r="AC65" s="3">
        <v>0.1</v>
      </c>
      <c r="AD65">
        <v>100</v>
      </c>
      <c r="AE65">
        <v>10.969051996096999</v>
      </c>
      <c r="AF65">
        <v>92.357542033771196</v>
      </c>
      <c r="AG65">
        <v>19.716526171033898</v>
      </c>
      <c r="AH65">
        <f t="shared" si="46"/>
        <v>1.0969051996096999</v>
      </c>
      <c r="AI65">
        <f t="shared" si="29"/>
        <v>1.9716526171033899</v>
      </c>
      <c r="AJ65">
        <f t="shared" si="30"/>
        <v>1.0969051996096999</v>
      </c>
      <c r="AK65">
        <f t="shared" si="45"/>
        <v>1.9716526171033899</v>
      </c>
      <c r="AL65">
        <f t="shared" si="47"/>
        <v>0.61449296278201315</v>
      </c>
      <c r="AM65">
        <f t="shared" si="31"/>
        <v>0.48241223682768675</v>
      </c>
      <c r="AN65">
        <f t="shared" si="32"/>
        <v>0.61449296278201315</v>
      </c>
      <c r="AO65" s="5">
        <f t="shared" si="48"/>
        <v>1.77685969817055E-3</v>
      </c>
      <c r="AP65" s="5">
        <f t="shared" si="49"/>
        <v>1.5331283704498101E-7</v>
      </c>
      <c r="AQ65" s="5">
        <f t="shared" si="50"/>
        <v>3.37632472089366E-2</v>
      </c>
      <c r="AR65">
        <f t="shared" si="51"/>
        <v>10</v>
      </c>
      <c r="AS65" s="5">
        <f t="shared" si="52"/>
        <v>0.154143585092054</v>
      </c>
      <c r="AT65" s="8">
        <f t="shared" si="53"/>
        <v>0.154143585092054</v>
      </c>
      <c r="AU65" s="5">
        <f t="shared" si="54"/>
        <v>3.4254130020456498E-2</v>
      </c>
      <c r="AV65" s="5">
        <f t="shared" si="55"/>
        <v>0.15236672539388346</v>
      </c>
      <c r="AW65" s="8">
        <f t="shared" si="56"/>
        <v>0.15414343177921697</v>
      </c>
      <c r="AX65" s="5">
        <f t="shared" si="57"/>
        <v>4.9088281151989793E-4</v>
      </c>
      <c r="AY65" s="5">
        <f t="shared" si="58"/>
        <v>0.14893646171614916</v>
      </c>
      <c r="AZ65">
        <f t="shared" si="59"/>
        <v>7.3511228548095763E-3</v>
      </c>
      <c r="BA65">
        <f t="shared" si="60"/>
        <v>4.8763828814566009E-4</v>
      </c>
      <c r="BB65" s="5">
        <f t="shared" si="61"/>
        <v>95</v>
      </c>
      <c r="BC65" s="5">
        <f t="shared" si="62"/>
        <v>0.15677522285910439</v>
      </c>
      <c r="BD65" s="5">
        <f t="shared" si="63"/>
        <v>0.30595550371932639</v>
      </c>
      <c r="BE65" s="16">
        <f t="shared" si="64"/>
        <v>0.31403808400635447</v>
      </c>
      <c r="BF65">
        <f t="shared" si="65"/>
        <v>3.4302636777394729E-3</v>
      </c>
      <c r="BG65">
        <f t="shared" si="66"/>
        <v>0.14679230892520181</v>
      </c>
      <c r="BH65">
        <f t="shared" si="67"/>
        <v>3.2445233742920785E-6</v>
      </c>
      <c r="BI65">
        <f t="shared" si="68"/>
        <v>0.30045487877600541</v>
      </c>
      <c r="BJ65">
        <f t="shared" si="69"/>
        <v>1.6711977383273844</v>
      </c>
      <c r="BK65">
        <f t="shared" si="70"/>
        <v>0.30045487877600541</v>
      </c>
      <c r="BL65">
        <f t="shared" si="34"/>
        <v>0.78286711560369215</v>
      </c>
      <c r="BM65">
        <f t="shared" si="35"/>
        <v>0.1536577030657422</v>
      </c>
      <c r="BN65">
        <f t="shared" si="36"/>
        <v>0.30045487877600541</v>
      </c>
      <c r="BO65" s="5">
        <f t="shared" si="71"/>
        <v>0.78286711560369215</v>
      </c>
      <c r="BP65" s="5">
        <f t="shared" si="72"/>
        <v>0.31403808400635447</v>
      </c>
      <c r="BQ65" s="4">
        <f t="shared" si="37"/>
        <v>2.1938103992193998</v>
      </c>
      <c r="BR65" s="5">
        <f t="shared" si="73"/>
        <v>0.13735678591673081</v>
      </c>
      <c r="BS65">
        <f t="shared" si="74"/>
        <v>6.2518280693443327</v>
      </c>
      <c r="BT65">
        <f t="shared" si="75"/>
        <v>5.9513731905683276</v>
      </c>
      <c r="BU65">
        <f t="shared" si="38"/>
        <v>5.4689609537406412</v>
      </c>
      <c r="BV65">
        <f t="shared" si="39"/>
        <v>1.6711977383273844</v>
      </c>
      <c r="BW65">
        <f t="shared" si="40"/>
        <v>0.30045487877600541</v>
      </c>
      <c r="BX65" s="4">
        <f t="shared" si="41"/>
        <v>3.9433052342067798</v>
      </c>
      <c r="BY65">
        <f t="shared" si="42"/>
        <v>0.13959145481572038</v>
      </c>
      <c r="BZ65">
        <f t="shared" si="43"/>
        <v>23.6047500100943</v>
      </c>
      <c r="CA65">
        <f t="shared" si="44"/>
        <v>21.933552271766914</v>
      </c>
    </row>
    <row r="66" spans="1:79" x14ac:dyDescent="0.25">
      <c r="A66">
        <v>9</v>
      </c>
      <c r="B66">
        <v>1.54143585092054E-3</v>
      </c>
      <c r="C66">
        <v>1.54143585092054E-3</v>
      </c>
      <c r="D66">
        <v>3.4254130020456501E-4</v>
      </c>
      <c r="E66">
        <v>0</v>
      </c>
      <c r="F66">
        <v>0</v>
      </c>
      <c r="G66">
        <v>0</v>
      </c>
      <c r="H66" s="5">
        <v>1.7768596981705501E-5</v>
      </c>
      <c r="I66" s="5">
        <v>1.5331283704498101E-9</v>
      </c>
      <c r="J66">
        <v>3.3763247208936601E-4</v>
      </c>
      <c r="K66">
        <v>0.13890601070001499</v>
      </c>
      <c r="L66">
        <v>0.14052575540227799</v>
      </c>
      <c r="M66">
        <v>4.4751616793740602E-4</v>
      </c>
      <c r="N66" t="s">
        <v>52</v>
      </c>
      <c r="O66">
        <v>0.1</v>
      </c>
      <c r="P66">
        <v>8</v>
      </c>
      <c r="Q66">
        <v>1.6497485970141401E-3</v>
      </c>
      <c r="R66">
        <v>1.6689858606617799E-3</v>
      </c>
      <c r="S66">
        <v>5.3150268046377499E-6</v>
      </c>
      <c r="T66">
        <v>0</v>
      </c>
      <c r="U66">
        <v>0</v>
      </c>
      <c r="V66">
        <v>0</v>
      </c>
      <c r="W66">
        <v>1.6127468294673999E-3</v>
      </c>
      <c r="X66">
        <v>7.9601388937146201E-5</v>
      </c>
      <c r="Y66">
        <v>5.2800231400846897E-6</v>
      </c>
      <c r="Z66">
        <v>1.73508600246416E-3</v>
      </c>
      <c r="AA66">
        <v>7.4529378862327897E-2</v>
      </c>
      <c r="AB66">
        <v>1.6413910047206701E-6</v>
      </c>
      <c r="AC66">
        <v>0.1</v>
      </c>
      <c r="AD66">
        <v>100</v>
      </c>
      <c r="AE66">
        <v>10.969051996096999</v>
      </c>
      <c r="AF66">
        <v>92.357542033771196</v>
      </c>
      <c r="AG66">
        <v>19.695809292209098</v>
      </c>
      <c r="AH66">
        <f t="shared" ref="AH66:AH101" si="76">AE66*O66</f>
        <v>1.0969051996096999</v>
      </c>
      <c r="AI66">
        <f t="shared" si="29"/>
        <v>1.9695809292209099</v>
      </c>
      <c r="AJ66">
        <f t="shared" si="30"/>
        <v>1.0969051996096999</v>
      </c>
      <c r="AK66">
        <f t="shared" si="45"/>
        <v>1.9695809292209099</v>
      </c>
      <c r="AL66">
        <f t="shared" ref="AL66:AL101" si="77">AE66*O66*(K66*2+L66*2+M66*3)</f>
        <v>0.61449296278201315</v>
      </c>
      <c r="AM66">
        <f t="shared" si="31"/>
        <v>0.48241223682768675</v>
      </c>
      <c r="AN66">
        <f t="shared" si="32"/>
        <v>0.61449296278201315</v>
      </c>
      <c r="AO66" s="5">
        <f t="shared" ref="AO66:AO101" si="78">H66*AD66</f>
        <v>1.77685969817055E-3</v>
      </c>
      <c r="AP66" s="5">
        <f t="shared" ref="AP66:AP101" si="79">I66*AD66</f>
        <v>1.5331283704498101E-7</v>
      </c>
      <c r="AQ66" s="5">
        <f t="shared" ref="AQ66:AQ101" si="80">J66*AD66</f>
        <v>3.37632472089366E-2</v>
      </c>
      <c r="AR66">
        <f t="shared" ref="AR66:AR101" si="81">0.1*AD66</f>
        <v>10</v>
      </c>
      <c r="AS66" s="5">
        <f t="shared" ref="AS66:AS101" si="82">AD66*B66</f>
        <v>0.154143585092054</v>
      </c>
      <c r="AT66" s="8">
        <f t="shared" ref="AT66:AT101" si="83">AD66*C66</f>
        <v>0.154143585092054</v>
      </c>
      <c r="AU66" s="5">
        <f t="shared" ref="AU66:AU101" si="84">AD66*D66</f>
        <v>3.4254130020456498E-2</v>
      </c>
      <c r="AV66" s="5">
        <f t="shared" ref="AV66:AV101" si="85">AS66-AO66</f>
        <v>0.15236672539388346</v>
      </c>
      <c r="AW66" s="8">
        <f t="shared" ref="AW66:AW101" si="86">AT66-AP66</f>
        <v>0.15414343177921697</v>
      </c>
      <c r="AX66" s="5">
        <f t="shared" ref="AX66:AX101" si="87">AU66-AQ66</f>
        <v>4.9088281151989793E-4</v>
      </c>
      <c r="AY66" s="5">
        <f t="shared" ref="AY66:AY101" si="88">AF66*W66</f>
        <v>0.1489493330923666</v>
      </c>
      <c r="AZ66">
        <f t="shared" ref="AZ66:AZ101" si="89">AF66*X66</f>
        <v>7.3517886247090498E-3</v>
      </c>
      <c r="BA66">
        <f t="shared" ref="BA66:BA101" si="90">AF66*Y66</f>
        <v>4.876499590996563E-4</v>
      </c>
      <c r="BB66" s="5">
        <f t="shared" ref="BB66:BB97" si="91">AY66/SUM(AY66:BA66)*100</f>
        <v>95.000000000000028</v>
      </c>
      <c r="BC66" s="5">
        <f t="shared" ref="BC66:BC101" si="92">SUM(AY66:BA66)</f>
        <v>0.15678877167617533</v>
      </c>
      <c r="BD66" s="5">
        <f t="shared" ref="BD66:BD101" si="93">AY66*2+AZ66*1+BA66*3/2</f>
        <v>0.30598192974809174</v>
      </c>
      <c r="BE66" s="16">
        <f t="shared" ref="BE66:BE101" si="94">AY66*2+AZ66*2+BA66*3</f>
        <v>0.31406519331145027</v>
      </c>
      <c r="BF66">
        <f t="shared" ref="BF66:BF101" si="95">AG66*AC66*Z66</f>
        <v>3.4173923010115542E-3</v>
      </c>
      <c r="BG66">
        <f t="shared" ref="BG66:BG101" si="96">AG66*AC66*AA66</f>
        <v>0.14679164327392102</v>
      </c>
      <c r="BH66">
        <f t="shared" ref="BH66:BH101" si="97">AG66*AC66*AB66</f>
        <v>3.2328524202925802E-6</v>
      </c>
      <c r="BI66">
        <f t="shared" ref="BI66:BI97" si="98">BF66*2+BG66*2+BH66*3</f>
        <v>0.30042776970712604</v>
      </c>
      <c r="BJ66">
        <f t="shared" ref="BJ66:BJ97" si="99">AK66-BI66</f>
        <v>1.6691531595137838</v>
      </c>
      <c r="BK66">
        <f t="shared" ref="BK66:BK101" si="100">BI66</f>
        <v>0.30042776970712604</v>
      </c>
      <c r="BL66">
        <f t="shared" si="34"/>
        <v>0.78284000653481278</v>
      </c>
      <c r="BM66">
        <f t="shared" si="35"/>
        <v>0.15363127715457456</v>
      </c>
      <c r="BN66">
        <f t="shared" si="36"/>
        <v>0.30042776970712604</v>
      </c>
      <c r="BO66" s="5">
        <f t="shared" ref="BO66:BO101" si="101">BL66</f>
        <v>0.78284000653481278</v>
      </c>
      <c r="BP66" s="5">
        <f t="shared" ref="BP66:BP101" si="102">BE66</f>
        <v>0.31406519331145027</v>
      </c>
      <c r="BQ66" s="4">
        <f t="shared" si="37"/>
        <v>2.1938103992193998</v>
      </c>
      <c r="BR66" s="5">
        <f t="shared" ref="BR66" si="103">AJ66/(BQ66+BE66)*BP66</f>
        <v>0.13736715831749041</v>
      </c>
      <c r="BS66">
        <f t="shared" ref="BS66:BS97" si="104">BO66/BR66*AJ66</f>
        <v>6.2511395310795521</v>
      </c>
      <c r="BT66">
        <f t="shared" ref="BT66:BT97" si="105">BS66-BK66</f>
        <v>5.9507117613724265</v>
      </c>
      <c r="BU66">
        <f t="shared" si="38"/>
        <v>5.4682995245447401</v>
      </c>
      <c r="BV66">
        <f t="shared" si="39"/>
        <v>1.6691531595137838</v>
      </c>
      <c r="BW66">
        <f t="shared" si="40"/>
        <v>0.30042776970712604</v>
      </c>
      <c r="BX66" s="4">
        <f t="shared" si="41"/>
        <v>3.9391618584418198</v>
      </c>
      <c r="BY66">
        <f t="shared" si="42"/>
        <v>0.13956935876406446</v>
      </c>
      <c r="BZ66">
        <f t="shared" si="43"/>
        <v>23.554827936729271</v>
      </c>
      <c r="CA66">
        <f t="shared" si="44"/>
        <v>21.885674777215488</v>
      </c>
    </row>
    <row r="67" spans="1:79" x14ac:dyDescent="0.25">
      <c r="A67">
        <v>9</v>
      </c>
      <c r="B67">
        <v>1.54143585092054E-3</v>
      </c>
      <c r="C67">
        <v>1.54143585092054E-3</v>
      </c>
      <c r="D67">
        <v>3.4254130020456501E-4</v>
      </c>
      <c r="E67">
        <v>0</v>
      </c>
      <c r="F67">
        <v>0</v>
      </c>
      <c r="G67">
        <v>0</v>
      </c>
      <c r="H67" s="5">
        <v>1.7768596981705501E-5</v>
      </c>
      <c r="I67" s="5">
        <v>1.5331283704498101E-9</v>
      </c>
      <c r="J67">
        <v>3.3763247208936601E-4</v>
      </c>
      <c r="K67">
        <v>0.13890601070001499</v>
      </c>
      <c r="L67">
        <v>0.14052575540227799</v>
      </c>
      <c r="M67">
        <v>4.4751616793740602E-4</v>
      </c>
      <c r="N67" t="s">
        <v>52</v>
      </c>
      <c r="O67">
        <v>0.1</v>
      </c>
      <c r="P67">
        <v>9</v>
      </c>
      <c r="Q67">
        <v>1.6497485970141401E-3</v>
      </c>
      <c r="R67">
        <v>1.6689858606617799E-3</v>
      </c>
      <c r="S67">
        <v>5.3150268046377499E-6</v>
      </c>
      <c r="T67">
        <v>0</v>
      </c>
      <c r="U67">
        <v>0</v>
      </c>
      <c r="V67">
        <v>0</v>
      </c>
      <c r="W67">
        <v>1.6127861938138701E-3</v>
      </c>
      <c r="X67">
        <v>7.9603425019377403E-5</v>
      </c>
      <c r="Y67">
        <v>5.2800588331914901E-6</v>
      </c>
      <c r="Z67">
        <v>1.7337552285219199E-3</v>
      </c>
      <c r="AA67">
        <v>7.4551432519081903E-2</v>
      </c>
      <c r="AB67">
        <v>1.64020458835788E-6</v>
      </c>
      <c r="AC67">
        <v>0.1</v>
      </c>
      <c r="AD67">
        <v>100</v>
      </c>
      <c r="AE67">
        <v>10.969051996096999</v>
      </c>
      <c r="AF67">
        <v>92.357542033771196</v>
      </c>
      <c r="AG67">
        <v>19.689957677272098</v>
      </c>
      <c r="AH67">
        <f t="shared" si="76"/>
        <v>1.0969051996096999</v>
      </c>
      <c r="AI67">
        <f t="shared" ref="AI67:AI101" si="106">AG67*AC67</f>
        <v>1.9689957677272099</v>
      </c>
      <c r="AJ67">
        <f t="shared" ref="AJ67:AJ101" si="107">AH67</f>
        <v>1.0969051996096999</v>
      </c>
      <c r="AK67">
        <f t="shared" ref="AK67:AK101" si="108">AI67</f>
        <v>1.9689957677272099</v>
      </c>
      <c r="AL67">
        <f t="shared" si="77"/>
        <v>0.61449296278201315</v>
      </c>
      <c r="AM67">
        <f t="shared" ref="AM67:AM101" si="109">AJ67-AL67</f>
        <v>0.48241223682768675</v>
      </c>
      <c r="AN67">
        <f t="shared" ref="AN67:AN101" si="110">AJ67-AM67</f>
        <v>0.61449296278201315</v>
      </c>
      <c r="AO67" s="5">
        <f t="shared" si="78"/>
        <v>1.77685969817055E-3</v>
      </c>
      <c r="AP67" s="5">
        <f t="shared" si="79"/>
        <v>1.5331283704498101E-7</v>
      </c>
      <c r="AQ67" s="5">
        <f t="shared" si="80"/>
        <v>3.37632472089366E-2</v>
      </c>
      <c r="AR67">
        <f t="shared" si="81"/>
        <v>10</v>
      </c>
      <c r="AS67" s="5">
        <f t="shared" si="82"/>
        <v>0.154143585092054</v>
      </c>
      <c r="AT67" s="8">
        <f t="shared" si="83"/>
        <v>0.154143585092054</v>
      </c>
      <c r="AU67" s="5">
        <f t="shared" si="84"/>
        <v>3.4254130020456498E-2</v>
      </c>
      <c r="AV67" s="5">
        <f t="shared" si="85"/>
        <v>0.15236672539388346</v>
      </c>
      <c r="AW67" s="8">
        <f t="shared" si="86"/>
        <v>0.15414343177921697</v>
      </c>
      <c r="AX67" s="5">
        <f t="shared" si="87"/>
        <v>4.9088281151989793E-4</v>
      </c>
      <c r="AY67" s="5">
        <f t="shared" si="88"/>
        <v>0.14895296868665037</v>
      </c>
      <c r="AZ67">
        <f t="shared" si="89"/>
        <v>7.3519766722593026E-3</v>
      </c>
      <c r="BA67">
        <f t="shared" si="90"/>
        <v>4.8765325562726794E-4</v>
      </c>
      <c r="BB67" s="5">
        <f t="shared" si="91"/>
        <v>95.000000001811486</v>
      </c>
      <c r="BC67" s="5">
        <f t="shared" si="92"/>
        <v>0.15679259861453695</v>
      </c>
      <c r="BD67" s="5">
        <f t="shared" si="93"/>
        <v>0.30598939392900093</v>
      </c>
      <c r="BE67" s="16">
        <f t="shared" si="94"/>
        <v>0.31407285048470118</v>
      </c>
      <c r="BF67">
        <f t="shared" si="95"/>
        <v>3.4137567072345821E-3</v>
      </c>
      <c r="BG67">
        <f t="shared" si="96"/>
        <v>0.14679145510807295</v>
      </c>
      <c r="BH67">
        <f t="shared" si="97"/>
        <v>3.2295558926834163E-6</v>
      </c>
      <c r="BI67">
        <f t="shared" si="98"/>
        <v>0.30042011229829313</v>
      </c>
      <c r="BJ67">
        <f t="shared" si="99"/>
        <v>1.6685756554289166</v>
      </c>
      <c r="BK67">
        <f t="shared" si="100"/>
        <v>0.30042011229829313</v>
      </c>
      <c r="BL67">
        <f t="shared" ref="BL67:BL101" si="111">BK67+AM67</f>
        <v>0.78283234912597988</v>
      </c>
      <c r="BM67">
        <f t="shared" ref="BM67:BM101" si="112">2*BF67+BG67+3/2*BH67</f>
        <v>0.15362381285638113</v>
      </c>
      <c r="BN67">
        <f t="shared" ref="BN67:BN101" si="113">2*BF67+BG67*2+3*BH67</f>
        <v>0.30042011229829313</v>
      </c>
      <c r="BO67" s="5">
        <f t="shared" si="101"/>
        <v>0.78283234912597988</v>
      </c>
      <c r="BP67" s="5">
        <f t="shared" si="102"/>
        <v>0.31407285048470118</v>
      </c>
      <c r="BQ67" s="4">
        <f t="shared" ref="BQ67:BQ101" si="114">AJ67*2</f>
        <v>2.1938103992193998</v>
      </c>
      <c r="BR67" s="5">
        <f t="shared" ref="BR67:BR101" si="115">AJ67/(BQ67+BE67)*BP67</f>
        <v>0.1373700880188726</v>
      </c>
      <c r="BS67">
        <f t="shared" si="104"/>
        <v>6.250945067902931</v>
      </c>
      <c r="BT67">
        <f t="shared" si="105"/>
        <v>5.9505249556046378</v>
      </c>
      <c r="BU67">
        <f t="shared" ref="BU67:BU101" si="116">BT67-AM67</f>
        <v>5.4681127187769514</v>
      </c>
      <c r="BV67">
        <f t="shared" ref="BV67:BV101" si="117">BJ67</f>
        <v>1.6685756554289166</v>
      </c>
      <c r="BW67">
        <f t="shared" ref="BW67:BW101" si="118">BN67</f>
        <v>0.30042011229829313</v>
      </c>
      <c r="BX67" s="4">
        <f t="shared" ref="BX67:BX101" si="119">AK67*2</f>
        <v>3.9379915354544197</v>
      </c>
      <c r="BY67">
        <f t="shared" ref="BY67:BY101" si="120">AK67/(BX67+BN67)*BW67</f>
        <v>0.13956311439666569</v>
      </c>
      <c r="BZ67">
        <f t="shared" ref="BZ67:BZ101" si="121">BV67/BY67*AK67</f>
        <v>23.540735801684605</v>
      </c>
      <c r="CA67">
        <f t="shared" ref="CA67:CA101" si="122">BZ67-BJ67</f>
        <v>21.872160146255688</v>
      </c>
    </row>
    <row r="68" spans="1:79" x14ac:dyDescent="0.25">
      <c r="A68">
        <v>9</v>
      </c>
      <c r="B68">
        <v>1.54143585092054E-3</v>
      </c>
      <c r="C68">
        <v>1.54143585092054E-3</v>
      </c>
      <c r="D68">
        <v>3.4254130020456501E-4</v>
      </c>
      <c r="E68">
        <v>0</v>
      </c>
      <c r="F68">
        <v>0</v>
      </c>
      <c r="G68">
        <v>0</v>
      </c>
      <c r="H68" s="5">
        <v>1.7768596981705501E-5</v>
      </c>
      <c r="I68" s="5">
        <v>1.5331283704498101E-9</v>
      </c>
      <c r="J68">
        <v>3.3763247208936601E-4</v>
      </c>
      <c r="K68">
        <v>0.13890601070001499</v>
      </c>
      <c r="L68">
        <v>0.14052575540227799</v>
      </c>
      <c r="M68">
        <v>4.4751616793740602E-4</v>
      </c>
      <c r="N68" t="s">
        <v>52</v>
      </c>
      <c r="O68">
        <v>0.1</v>
      </c>
      <c r="P68">
        <v>10</v>
      </c>
      <c r="Q68">
        <v>1.6497485970141401E-3</v>
      </c>
      <c r="R68">
        <v>1.6689858606617799E-3</v>
      </c>
      <c r="S68">
        <v>5.3150268046377499E-6</v>
      </c>
      <c r="T68">
        <v>0</v>
      </c>
      <c r="U68">
        <v>0</v>
      </c>
      <c r="V68">
        <v>0</v>
      </c>
      <c r="W68">
        <v>1.61279727507717E-3</v>
      </c>
      <c r="X68">
        <v>7.9603998227522496E-5</v>
      </c>
      <c r="Y68">
        <v>5.28006888098894E-6</v>
      </c>
      <c r="Z68">
        <v>1.7333804651433E-3</v>
      </c>
      <c r="AA68">
        <v>7.4557643117945299E-2</v>
      </c>
      <c r="AB68">
        <v>1.6398704779534299E-6</v>
      </c>
      <c r="AC68">
        <v>0.1</v>
      </c>
      <c r="AD68">
        <v>100</v>
      </c>
      <c r="AE68">
        <v>10.969051996096999</v>
      </c>
      <c r="AF68">
        <v>92.357542033771196</v>
      </c>
      <c r="AG68">
        <v>19.6883104257832</v>
      </c>
      <c r="AH68">
        <f t="shared" si="76"/>
        <v>1.0969051996096999</v>
      </c>
      <c r="AI68">
        <f t="shared" si="106"/>
        <v>1.9688310425783202</v>
      </c>
      <c r="AJ68">
        <f t="shared" si="107"/>
        <v>1.0969051996096999</v>
      </c>
      <c r="AK68">
        <f t="shared" si="108"/>
        <v>1.9688310425783202</v>
      </c>
      <c r="AL68">
        <f t="shared" si="77"/>
        <v>0.61449296278201315</v>
      </c>
      <c r="AM68">
        <f t="shared" si="109"/>
        <v>0.48241223682768675</v>
      </c>
      <c r="AN68">
        <f t="shared" si="110"/>
        <v>0.61449296278201315</v>
      </c>
      <c r="AO68" s="5">
        <f t="shared" si="78"/>
        <v>1.77685969817055E-3</v>
      </c>
      <c r="AP68" s="5">
        <f t="shared" si="79"/>
        <v>1.5331283704498101E-7</v>
      </c>
      <c r="AQ68" s="5">
        <f t="shared" si="80"/>
        <v>3.37632472089366E-2</v>
      </c>
      <c r="AR68">
        <f t="shared" si="81"/>
        <v>10</v>
      </c>
      <c r="AS68" s="5">
        <f t="shared" si="82"/>
        <v>0.154143585092054</v>
      </c>
      <c r="AT68" s="8">
        <f t="shared" si="83"/>
        <v>0.154143585092054</v>
      </c>
      <c r="AU68" s="5">
        <f t="shared" si="84"/>
        <v>3.4254130020456498E-2</v>
      </c>
      <c r="AV68" s="5">
        <f t="shared" si="85"/>
        <v>0.15236672539388346</v>
      </c>
      <c r="AW68" s="8">
        <f t="shared" si="86"/>
        <v>0.15414343177921697</v>
      </c>
      <c r="AX68" s="5">
        <f t="shared" si="87"/>
        <v>4.9088281151989793E-4</v>
      </c>
      <c r="AY68" s="5">
        <f t="shared" si="88"/>
        <v>0.14895399212489138</v>
      </c>
      <c r="AZ68">
        <f t="shared" si="89"/>
        <v>7.3520296123546569E-3</v>
      </c>
      <c r="BA68">
        <f t="shared" si="90"/>
        <v>4.8765418361714326E-4</v>
      </c>
      <c r="BB68" s="5">
        <f t="shared" si="91"/>
        <v>95.000000000045517</v>
      </c>
      <c r="BC68" s="5">
        <f t="shared" si="92"/>
        <v>0.15679367592086318</v>
      </c>
      <c r="BD68" s="5">
        <f t="shared" si="93"/>
        <v>0.30599149513756313</v>
      </c>
      <c r="BE68" s="16">
        <f t="shared" si="94"/>
        <v>0.31407500602534349</v>
      </c>
      <c r="BF68">
        <f t="shared" si="95"/>
        <v>3.4127332683729769E-3</v>
      </c>
      <c r="BG68">
        <f t="shared" si="96"/>
        <v>0.14679140223208656</v>
      </c>
      <c r="BH68">
        <f t="shared" si="97"/>
        <v>3.2286279028024596E-6</v>
      </c>
      <c r="BI68">
        <f t="shared" si="98"/>
        <v>0.30041795688462747</v>
      </c>
      <c r="BJ68">
        <f t="shared" si="99"/>
        <v>1.6684130856936927</v>
      </c>
      <c r="BK68">
        <f t="shared" si="100"/>
        <v>0.30041795688462747</v>
      </c>
      <c r="BL68">
        <f t="shared" si="111"/>
        <v>0.78283019371231422</v>
      </c>
      <c r="BM68">
        <f t="shared" si="112"/>
        <v>0.15362171171068673</v>
      </c>
      <c r="BN68">
        <f t="shared" si="113"/>
        <v>0.30041795688462747</v>
      </c>
      <c r="BO68" s="5">
        <f t="shared" si="101"/>
        <v>0.78283019371231422</v>
      </c>
      <c r="BP68" s="5">
        <f t="shared" si="102"/>
        <v>0.31407500602534349</v>
      </c>
      <c r="BQ68" s="4">
        <f t="shared" si="114"/>
        <v>2.1938103992193998</v>
      </c>
      <c r="BR68" s="5">
        <f t="shared" si="115"/>
        <v>0.13737091274432711</v>
      </c>
      <c r="BS68">
        <f t="shared" si="104"/>
        <v>6.2508903285274755</v>
      </c>
      <c r="BT68">
        <f t="shared" si="105"/>
        <v>5.9504723716428476</v>
      </c>
      <c r="BU68">
        <f t="shared" si="116"/>
        <v>5.4680601348151612</v>
      </c>
      <c r="BV68">
        <f t="shared" si="117"/>
        <v>1.6684130856936927</v>
      </c>
      <c r="BW68">
        <f t="shared" si="118"/>
        <v>0.30041795688462747</v>
      </c>
      <c r="BX68" s="4">
        <f t="shared" si="119"/>
        <v>3.9376620851566404</v>
      </c>
      <c r="BY68">
        <f t="shared" si="120"/>
        <v>0.13956135641495052</v>
      </c>
      <c r="BZ68">
        <f t="shared" si="121"/>
        <v>23.53676948503589</v>
      </c>
      <c r="CA68">
        <f t="shared" si="122"/>
        <v>21.868356399342197</v>
      </c>
    </row>
    <row r="69" spans="1:79" x14ac:dyDescent="0.25">
      <c r="A69">
        <v>9</v>
      </c>
      <c r="B69">
        <v>1.54143585092054E-3</v>
      </c>
      <c r="C69">
        <v>1.54143585092054E-3</v>
      </c>
      <c r="D69">
        <v>3.4254130020456501E-4</v>
      </c>
      <c r="E69">
        <v>0</v>
      </c>
      <c r="F69">
        <v>0</v>
      </c>
      <c r="G69">
        <v>0</v>
      </c>
      <c r="H69" s="5">
        <v>1.7768596981705501E-5</v>
      </c>
      <c r="I69" s="5">
        <v>1.5331283704498101E-9</v>
      </c>
      <c r="J69">
        <v>3.3763247208936601E-4</v>
      </c>
      <c r="K69">
        <v>0.13890601070001499</v>
      </c>
      <c r="L69">
        <v>0.14052575540227799</v>
      </c>
      <c r="M69">
        <v>4.4751616793740602E-4</v>
      </c>
      <c r="N69" t="s">
        <v>52</v>
      </c>
      <c r="O69">
        <v>0.1</v>
      </c>
      <c r="P69">
        <v>11</v>
      </c>
      <c r="Q69">
        <v>1.6497485970141401E-3</v>
      </c>
      <c r="R69">
        <v>1.6689858606617799E-3</v>
      </c>
      <c r="S69">
        <v>5.3150268046377499E-6</v>
      </c>
      <c r="T69">
        <v>0</v>
      </c>
      <c r="U69">
        <v>0</v>
      </c>
      <c r="V69">
        <v>0</v>
      </c>
      <c r="W69">
        <v>1.6128003908315799E-3</v>
      </c>
      <c r="X69">
        <v>7.9604159390225403E-5</v>
      </c>
      <c r="Y69">
        <v>5.2800717061551003E-6</v>
      </c>
      <c r="Z69">
        <v>1.7332750811688499E-3</v>
      </c>
      <c r="AA69">
        <v>7.4559389546738394E-2</v>
      </c>
      <c r="AB69">
        <v>1.63977652565795E-6</v>
      </c>
      <c r="AC69">
        <v>0.1</v>
      </c>
      <c r="AD69">
        <v>100</v>
      </c>
      <c r="AE69">
        <v>10.969051996096999</v>
      </c>
      <c r="AF69">
        <v>92.357542033771196</v>
      </c>
      <c r="AG69">
        <v>19.687847257780298</v>
      </c>
      <c r="AH69">
        <f t="shared" si="76"/>
        <v>1.0969051996096999</v>
      </c>
      <c r="AI69">
        <f t="shared" si="106"/>
        <v>1.96878472577803</v>
      </c>
      <c r="AJ69">
        <f t="shared" si="107"/>
        <v>1.0969051996096999</v>
      </c>
      <c r="AK69">
        <f t="shared" si="108"/>
        <v>1.96878472577803</v>
      </c>
      <c r="AL69">
        <f t="shared" si="77"/>
        <v>0.61449296278201315</v>
      </c>
      <c r="AM69">
        <f t="shared" si="109"/>
        <v>0.48241223682768675</v>
      </c>
      <c r="AN69">
        <f t="shared" si="110"/>
        <v>0.61449296278201315</v>
      </c>
      <c r="AO69" s="5">
        <f t="shared" si="78"/>
        <v>1.77685969817055E-3</v>
      </c>
      <c r="AP69" s="5">
        <f t="shared" si="79"/>
        <v>1.5331283704498101E-7</v>
      </c>
      <c r="AQ69" s="5">
        <f t="shared" si="80"/>
        <v>3.37632472089366E-2</v>
      </c>
      <c r="AR69">
        <f t="shared" si="81"/>
        <v>10</v>
      </c>
      <c r="AS69" s="5">
        <f t="shared" si="82"/>
        <v>0.154143585092054</v>
      </c>
      <c r="AT69" s="8">
        <f t="shared" si="83"/>
        <v>0.154143585092054</v>
      </c>
      <c r="AU69" s="5">
        <f t="shared" si="84"/>
        <v>3.4254130020456498E-2</v>
      </c>
      <c r="AV69" s="5">
        <f t="shared" si="85"/>
        <v>0.15236672539388346</v>
      </c>
      <c r="AW69" s="8">
        <f t="shared" si="86"/>
        <v>0.15414343177921697</v>
      </c>
      <c r="AX69" s="5">
        <f t="shared" si="87"/>
        <v>4.9088281151989793E-4</v>
      </c>
      <c r="AY69" s="5">
        <f t="shared" si="88"/>
        <v>0.14895427988831025</v>
      </c>
      <c r="AZ69">
        <f t="shared" si="89"/>
        <v>7.3520444969457643E-3</v>
      </c>
      <c r="BA69">
        <f t="shared" si="90"/>
        <v>4.876544445425457E-4</v>
      </c>
      <c r="BB69" s="5">
        <f t="shared" si="91"/>
        <v>95.000000000001023</v>
      </c>
      <c r="BC69" s="5">
        <f t="shared" si="92"/>
        <v>0.15679397882979856</v>
      </c>
      <c r="BD69" s="5">
        <f t="shared" si="93"/>
        <v>0.30599208594038008</v>
      </c>
      <c r="BE69" s="16">
        <f t="shared" si="94"/>
        <v>0.3140756121041397</v>
      </c>
      <c r="BF69">
        <f t="shared" si="95"/>
        <v>3.4124455053769066E-3</v>
      </c>
      <c r="BG69">
        <f t="shared" si="96"/>
        <v>0.14679138730295266</v>
      </c>
      <c r="BH69">
        <f t="shared" si="97"/>
        <v>3.228366977404738E-6</v>
      </c>
      <c r="BI69">
        <f t="shared" si="98"/>
        <v>0.30041735071759129</v>
      </c>
      <c r="BJ69">
        <f t="shared" si="99"/>
        <v>1.6683673750604386</v>
      </c>
      <c r="BK69">
        <f t="shared" si="100"/>
        <v>0.30041735071759129</v>
      </c>
      <c r="BL69">
        <f t="shared" si="111"/>
        <v>0.78282958754527798</v>
      </c>
      <c r="BM69">
        <f t="shared" si="112"/>
        <v>0.15362112086417257</v>
      </c>
      <c r="BN69">
        <f t="shared" si="113"/>
        <v>0.30041735071759129</v>
      </c>
      <c r="BO69" s="5">
        <f t="shared" si="101"/>
        <v>0.78282958754527798</v>
      </c>
      <c r="BP69" s="5">
        <f t="shared" si="102"/>
        <v>0.3140756121041397</v>
      </c>
      <c r="BQ69" s="4">
        <f t="shared" si="114"/>
        <v>2.1938103992193998</v>
      </c>
      <c r="BR69" s="5">
        <f t="shared" si="115"/>
        <v>0.13737114463420685</v>
      </c>
      <c r="BS69">
        <f t="shared" si="104"/>
        <v>6.2508749364596135</v>
      </c>
      <c r="BT69">
        <f t="shared" si="105"/>
        <v>5.9504575857420221</v>
      </c>
      <c r="BU69">
        <f t="shared" si="116"/>
        <v>5.4680453489143357</v>
      </c>
      <c r="BV69">
        <f t="shared" si="117"/>
        <v>1.6683673750604386</v>
      </c>
      <c r="BW69">
        <f t="shared" si="118"/>
        <v>0.30041735071759129</v>
      </c>
      <c r="BX69" s="4">
        <f t="shared" si="119"/>
        <v>3.93756945155606</v>
      </c>
      <c r="BY69">
        <f t="shared" si="120"/>
        <v>0.13956086204284132</v>
      </c>
      <c r="BZ69">
        <f t="shared" si="121"/>
        <v>23.535654315441811</v>
      </c>
      <c r="CA69">
        <f t="shared" si="122"/>
        <v>21.867286940381373</v>
      </c>
    </row>
    <row r="70" spans="1:79" x14ac:dyDescent="0.25">
      <c r="A70">
        <v>9</v>
      </c>
      <c r="B70">
        <v>1.54143585092054E-3</v>
      </c>
      <c r="C70">
        <v>1.54143585092054E-3</v>
      </c>
      <c r="D70">
        <v>3.4254130020456501E-4</v>
      </c>
      <c r="E70">
        <v>0</v>
      </c>
      <c r="F70">
        <v>0</v>
      </c>
      <c r="G70">
        <v>0</v>
      </c>
      <c r="H70" s="5">
        <v>1.7768596981705501E-5</v>
      </c>
      <c r="I70" s="5">
        <v>1.5331283704498101E-9</v>
      </c>
      <c r="J70">
        <v>3.3763247208936601E-4</v>
      </c>
      <c r="K70">
        <v>0.13890601070001499</v>
      </c>
      <c r="L70">
        <v>0.14052575540227799</v>
      </c>
      <c r="M70">
        <v>4.4751616793740602E-4</v>
      </c>
      <c r="N70" t="s">
        <v>52</v>
      </c>
      <c r="O70">
        <v>0.1</v>
      </c>
      <c r="P70">
        <v>12</v>
      </c>
      <c r="Q70">
        <v>1.6497485970141401E-3</v>
      </c>
      <c r="R70">
        <v>1.6689858606617799E-3</v>
      </c>
      <c r="S70">
        <v>5.3150268046377499E-6</v>
      </c>
      <c r="T70">
        <v>0</v>
      </c>
      <c r="U70">
        <v>0</v>
      </c>
      <c r="V70">
        <v>0</v>
      </c>
      <c r="W70">
        <v>1.61280126654258E-3</v>
      </c>
      <c r="X70">
        <v>7.9604204686258806E-5</v>
      </c>
      <c r="Y70">
        <v>5.2800725001932601E-6</v>
      </c>
      <c r="Z70">
        <v>1.7332454612020299E-3</v>
      </c>
      <c r="AA70">
        <v>7.4559880410390605E-2</v>
      </c>
      <c r="AB70">
        <v>1.63975011876007E-6</v>
      </c>
      <c r="AC70">
        <v>0.1</v>
      </c>
      <c r="AD70">
        <v>100</v>
      </c>
      <c r="AE70">
        <v>10.969051996096999</v>
      </c>
      <c r="AF70">
        <v>92.357542033771196</v>
      </c>
      <c r="AG70">
        <v>19.687717079934501</v>
      </c>
      <c r="AH70">
        <f t="shared" si="76"/>
        <v>1.0969051996096999</v>
      </c>
      <c r="AI70">
        <f t="shared" si="106"/>
        <v>1.9687717079934501</v>
      </c>
      <c r="AJ70">
        <f t="shared" si="107"/>
        <v>1.0969051996096999</v>
      </c>
      <c r="AK70">
        <f t="shared" si="108"/>
        <v>1.9687717079934501</v>
      </c>
      <c r="AL70">
        <f t="shared" si="77"/>
        <v>0.61449296278201315</v>
      </c>
      <c r="AM70">
        <f t="shared" si="109"/>
        <v>0.48241223682768675</v>
      </c>
      <c r="AN70">
        <f t="shared" si="110"/>
        <v>0.61449296278201315</v>
      </c>
      <c r="AO70" s="5">
        <f t="shared" si="78"/>
        <v>1.77685969817055E-3</v>
      </c>
      <c r="AP70" s="5">
        <f t="shared" si="79"/>
        <v>1.5331283704498101E-7</v>
      </c>
      <c r="AQ70" s="5">
        <f t="shared" si="80"/>
        <v>3.37632472089366E-2</v>
      </c>
      <c r="AR70">
        <f t="shared" si="81"/>
        <v>10</v>
      </c>
      <c r="AS70" s="5">
        <f t="shared" si="82"/>
        <v>0.154143585092054</v>
      </c>
      <c r="AT70" s="8">
        <f t="shared" si="83"/>
        <v>0.154143585092054</v>
      </c>
      <c r="AU70" s="5">
        <f t="shared" si="84"/>
        <v>3.4254130020456498E-2</v>
      </c>
      <c r="AV70" s="5">
        <f t="shared" si="85"/>
        <v>0.15236672539388346</v>
      </c>
      <c r="AW70" s="8">
        <f t="shared" si="86"/>
        <v>0.15414343177921697</v>
      </c>
      <c r="AX70" s="5">
        <f t="shared" si="87"/>
        <v>4.9088281151989793E-4</v>
      </c>
      <c r="AY70" s="5">
        <f t="shared" si="88"/>
        <v>0.14895436076682575</v>
      </c>
      <c r="AZ70">
        <f t="shared" si="89"/>
        <v>7.352048680376074E-3</v>
      </c>
      <c r="BA70">
        <f t="shared" si="90"/>
        <v>4.8765451787795842E-4</v>
      </c>
      <c r="BB70" s="5">
        <f t="shared" si="91"/>
        <v>94.999999999999972</v>
      </c>
      <c r="BC70" s="5">
        <f t="shared" si="92"/>
        <v>0.15679406396507978</v>
      </c>
      <c r="BD70" s="5">
        <f t="shared" si="93"/>
        <v>0.30599225199084451</v>
      </c>
      <c r="BE70" s="16">
        <f t="shared" si="94"/>
        <v>0.31407578244803752</v>
      </c>
      <c r="BF70">
        <f t="shared" si="95"/>
        <v>3.4123646270226154E-3</v>
      </c>
      <c r="BG70">
        <f t="shared" si="96"/>
        <v>0.1467913831033521</v>
      </c>
      <c r="BH70">
        <f t="shared" si="97"/>
        <v>3.2282936419937257E-6</v>
      </c>
      <c r="BI70">
        <f t="shared" si="98"/>
        <v>0.30041718034167542</v>
      </c>
      <c r="BJ70">
        <f t="shared" si="99"/>
        <v>1.6683545276517746</v>
      </c>
      <c r="BK70">
        <f t="shared" si="100"/>
        <v>0.30041718034167542</v>
      </c>
      <c r="BL70">
        <f t="shared" si="111"/>
        <v>0.78282941716936216</v>
      </c>
      <c r="BM70">
        <f t="shared" si="112"/>
        <v>0.15362095479786034</v>
      </c>
      <c r="BN70">
        <f t="shared" si="113"/>
        <v>0.30041718034167542</v>
      </c>
      <c r="BO70" s="5">
        <f t="shared" si="101"/>
        <v>0.78282941716936216</v>
      </c>
      <c r="BP70" s="5">
        <f t="shared" si="102"/>
        <v>0.31407578244803752</v>
      </c>
      <c r="BQ70" s="4">
        <f t="shared" si="114"/>
        <v>2.1938103992193998</v>
      </c>
      <c r="BR70" s="5">
        <f t="shared" si="115"/>
        <v>0.13737120980892339</v>
      </c>
      <c r="BS70">
        <f t="shared" si="104"/>
        <v>6.2508706103331217</v>
      </c>
      <c r="BT70">
        <f t="shared" si="105"/>
        <v>5.9504534299914464</v>
      </c>
      <c r="BU70">
        <f t="shared" si="116"/>
        <v>5.46804119316376</v>
      </c>
      <c r="BV70">
        <f t="shared" si="117"/>
        <v>1.6683545276517746</v>
      </c>
      <c r="BW70">
        <f t="shared" si="118"/>
        <v>0.30041718034167542</v>
      </c>
      <c r="BX70" s="4">
        <f t="shared" si="119"/>
        <v>3.9375434159869003</v>
      </c>
      <c r="BY70">
        <f t="shared" si="120"/>
        <v>0.13956072309030981</v>
      </c>
      <c r="BZ70">
        <f t="shared" si="121"/>
        <v>23.535340891133945</v>
      </c>
      <c r="CA70">
        <f t="shared" si="122"/>
        <v>21.86698636348217</v>
      </c>
    </row>
    <row r="71" spans="1:79" x14ac:dyDescent="0.25">
      <c r="A71">
        <v>9</v>
      </c>
      <c r="B71">
        <v>1.54143585092054E-3</v>
      </c>
      <c r="C71">
        <v>1.54143585092054E-3</v>
      </c>
      <c r="D71">
        <v>3.4254130020456501E-4</v>
      </c>
      <c r="E71">
        <v>0</v>
      </c>
      <c r="F71">
        <v>0</v>
      </c>
      <c r="G71">
        <v>0</v>
      </c>
      <c r="H71" s="5">
        <v>1.7768596981705501E-5</v>
      </c>
      <c r="I71" s="5">
        <v>1.5331283704498101E-9</v>
      </c>
      <c r="J71">
        <v>3.3763247208936601E-4</v>
      </c>
      <c r="K71">
        <v>0.13890601070001499</v>
      </c>
      <c r="L71">
        <v>0.14052575540227799</v>
      </c>
      <c r="M71">
        <v>4.4751616793740602E-4</v>
      </c>
      <c r="N71" t="s">
        <v>52</v>
      </c>
      <c r="O71">
        <v>0.1</v>
      </c>
      <c r="P71">
        <v>13</v>
      </c>
      <c r="Q71">
        <v>1.6497485970141401E-3</v>
      </c>
      <c r="R71">
        <v>1.6689858606617799E-3</v>
      </c>
      <c r="S71">
        <v>5.3150268046377499E-6</v>
      </c>
      <c r="T71">
        <v>0</v>
      </c>
      <c r="U71">
        <v>0</v>
      </c>
      <c r="V71">
        <v>0</v>
      </c>
      <c r="W71">
        <v>1.6128015126361699E-3</v>
      </c>
      <c r="X71">
        <v>7.9604217415409805E-5</v>
      </c>
      <c r="Y71">
        <v>5.2800727233350599E-6</v>
      </c>
      <c r="Z71">
        <v>1.7332371372774599E-3</v>
      </c>
      <c r="AA71">
        <v>7.4560018354909094E-2</v>
      </c>
      <c r="AB71">
        <v>1.6397426977852001E-6</v>
      </c>
      <c r="AC71">
        <v>0.1</v>
      </c>
      <c r="AD71">
        <v>100</v>
      </c>
      <c r="AE71">
        <v>10.969051996096999</v>
      </c>
      <c r="AF71">
        <v>92.357542033771196</v>
      </c>
      <c r="AG71">
        <v>19.6876804972202</v>
      </c>
      <c r="AH71">
        <f t="shared" si="76"/>
        <v>1.0969051996096999</v>
      </c>
      <c r="AI71">
        <f t="shared" si="106"/>
        <v>1.9687680497220201</v>
      </c>
      <c r="AJ71">
        <f t="shared" si="107"/>
        <v>1.0969051996096999</v>
      </c>
      <c r="AK71">
        <f t="shared" si="108"/>
        <v>1.9687680497220201</v>
      </c>
      <c r="AL71">
        <f t="shared" si="77"/>
        <v>0.61449296278201315</v>
      </c>
      <c r="AM71">
        <f t="shared" si="109"/>
        <v>0.48241223682768675</v>
      </c>
      <c r="AN71">
        <f t="shared" si="110"/>
        <v>0.61449296278201315</v>
      </c>
      <c r="AO71" s="5">
        <f t="shared" si="78"/>
        <v>1.77685969817055E-3</v>
      </c>
      <c r="AP71" s="5">
        <f t="shared" si="79"/>
        <v>1.5331283704498101E-7</v>
      </c>
      <c r="AQ71" s="5">
        <f t="shared" si="80"/>
        <v>3.37632472089366E-2</v>
      </c>
      <c r="AR71">
        <f t="shared" si="81"/>
        <v>10</v>
      </c>
      <c r="AS71" s="5">
        <f t="shared" si="82"/>
        <v>0.154143585092054</v>
      </c>
      <c r="AT71" s="8">
        <f t="shared" si="83"/>
        <v>0.154143585092054</v>
      </c>
      <c r="AU71" s="5">
        <f t="shared" si="84"/>
        <v>3.4254130020456498E-2</v>
      </c>
      <c r="AV71" s="5">
        <f t="shared" si="85"/>
        <v>0.15236672539388346</v>
      </c>
      <c r="AW71" s="8">
        <f t="shared" si="86"/>
        <v>0.15414343177921697</v>
      </c>
      <c r="AX71" s="5">
        <f t="shared" si="87"/>
        <v>4.9088281151989793E-4</v>
      </c>
      <c r="AY71" s="5">
        <f t="shared" si="88"/>
        <v>0.14895438349542484</v>
      </c>
      <c r="AZ71">
        <f t="shared" si="89"/>
        <v>7.3520498560091718E-3</v>
      </c>
      <c r="BA71">
        <f t="shared" si="90"/>
        <v>4.8765453848678654E-4</v>
      </c>
      <c r="BB71" s="5">
        <f t="shared" si="91"/>
        <v>95.000000000000057</v>
      </c>
      <c r="BC71" s="5">
        <f t="shared" si="92"/>
        <v>0.1567940878899208</v>
      </c>
      <c r="BD71" s="5">
        <f t="shared" si="93"/>
        <v>0.30599229865458905</v>
      </c>
      <c r="BE71" s="16">
        <f t="shared" si="94"/>
        <v>0.31407583031832836</v>
      </c>
      <c r="BF71">
        <f t="shared" si="95"/>
        <v>3.4123418984635221E-3</v>
      </c>
      <c r="BG71">
        <f t="shared" si="96"/>
        <v>0.1467913819238324</v>
      </c>
      <c r="BH71">
        <f t="shared" si="97"/>
        <v>3.2282730331644921E-6</v>
      </c>
      <c r="BI71">
        <f t="shared" si="98"/>
        <v>0.30041713246369134</v>
      </c>
      <c r="BJ71">
        <f t="shared" si="99"/>
        <v>1.6683509172583288</v>
      </c>
      <c r="BK71">
        <f t="shared" si="100"/>
        <v>0.30041713246369134</v>
      </c>
      <c r="BL71">
        <f t="shared" si="111"/>
        <v>0.78282936929137814</v>
      </c>
      <c r="BM71">
        <f t="shared" si="112"/>
        <v>0.15362090813030921</v>
      </c>
      <c r="BN71">
        <f t="shared" si="113"/>
        <v>0.30041713246369134</v>
      </c>
      <c r="BO71" s="5">
        <f t="shared" si="101"/>
        <v>0.78282936929137814</v>
      </c>
      <c r="BP71" s="5">
        <f t="shared" si="102"/>
        <v>0.31407583031832836</v>
      </c>
      <c r="BQ71" s="4">
        <f t="shared" si="114"/>
        <v>2.1938103992193998</v>
      </c>
      <c r="BR71" s="5">
        <f t="shared" si="115"/>
        <v>0.1373712281244158</v>
      </c>
      <c r="BS71">
        <f t="shared" si="104"/>
        <v>6.2508693946099667</v>
      </c>
      <c r="BT71">
        <f t="shared" si="105"/>
        <v>5.9504522621462757</v>
      </c>
      <c r="BU71">
        <f t="shared" si="116"/>
        <v>5.4680400253185892</v>
      </c>
      <c r="BV71">
        <f t="shared" si="117"/>
        <v>1.6683509172583288</v>
      </c>
      <c r="BW71">
        <f t="shared" si="118"/>
        <v>0.30041713246369134</v>
      </c>
      <c r="BX71" s="4">
        <f t="shared" si="119"/>
        <v>3.9375360994440403</v>
      </c>
      <c r="BY71">
        <f t="shared" si="120"/>
        <v>0.13956068404213587</v>
      </c>
      <c r="BZ71">
        <f t="shared" si="121"/>
        <v>23.535252812539561</v>
      </c>
      <c r="CA71">
        <f t="shared" si="122"/>
        <v>21.866901895281231</v>
      </c>
    </row>
    <row r="72" spans="1:79" x14ac:dyDescent="0.25">
      <c r="A72">
        <v>10</v>
      </c>
      <c r="B72">
        <v>1.54143585092054E-3</v>
      </c>
      <c r="C72">
        <v>1.54143585092054E-3</v>
      </c>
      <c r="D72">
        <v>3.4254130020456501E-4</v>
      </c>
      <c r="E72">
        <v>0</v>
      </c>
      <c r="F72">
        <v>0</v>
      </c>
      <c r="G72">
        <v>0</v>
      </c>
      <c r="H72" s="5">
        <v>1.7770671970930099E-5</v>
      </c>
      <c r="I72" s="5">
        <v>5.2649488631162003E-10</v>
      </c>
      <c r="J72">
        <v>3.3765279177869602E-4</v>
      </c>
      <c r="K72">
        <v>0.139053960209192</v>
      </c>
      <c r="L72">
        <v>0.14067571356050099</v>
      </c>
      <c r="M72">
        <v>4.4613899794023002E-4</v>
      </c>
      <c r="N72" t="s">
        <v>52</v>
      </c>
      <c r="O72">
        <v>0.1</v>
      </c>
      <c r="P72">
        <v>4</v>
      </c>
      <c r="Q72">
        <v>1.6497548842793E-3</v>
      </c>
      <c r="R72">
        <v>1.66899558413707E-3</v>
      </c>
      <c r="S72">
        <v>5.2930530695573503E-6</v>
      </c>
      <c r="T72">
        <v>0</v>
      </c>
      <c r="U72">
        <v>0</v>
      </c>
      <c r="V72">
        <v>0</v>
      </c>
      <c r="W72">
        <v>1.6048413033404E-3</v>
      </c>
      <c r="X72">
        <v>7.9214281912587002E-5</v>
      </c>
      <c r="Y72">
        <v>5.2510498442721197E-6</v>
      </c>
      <c r="Z72">
        <v>1.9874301532163399E-3</v>
      </c>
      <c r="AA72">
        <v>7.0347971160411499E-2</v>
      </c>
      <c r="AB72">
        <v>1.8586466433211301E-6</v>
      </c>
      <c r="AC72">
        <v>0.1</v>
      </c>
      <c r="AD72">
        <v>100</v>
      </c>
      <c r="AE72">
        <v>10.957366310586</v>
      </c>
      <c r="AF72">
        <v>92.357064280818008</v>
      </c>
      <c r="AG72">
        <v>20.8716088768834</v>
      </c>
      <c r="AH72">
        <f t="shared" si="76"/>
        <v>1.0957366310586001</v>
      </c>
      <c r="AI72">
        <f t="shared" si="106"/>
        <v>2.0871608876883401</v>
      </c>
      <c r="AJ72">
        <f t="shared" si="107"/>
        <v>1.0957366310586001</v>
      </c>
      <c r="AK72">
        <f t="shared" si="108"/>
        <v>2.0871608876883401</v>
      </c>
      <c r="AL72">
        <f t="shared" si="77"/>
        <v>0.61448665321480989</v>
      </c>
      <c r="AM72">
        <f t="shared" si="109"/>
        <v>0.4812499778437902</v>
      </c>
      <c r="AN72">
        <f t="shared" si="110"/>
        <v>0.61448665321480989</v>
      </c>
      <c r="AO72" s="5">
        <f t="shared" si="78"/>
        <v>1.7770671970930099E-3</v>
      </c>
      <c r="AP72" s="5">
        <f t="shared" si="79"/>
        <v>5.2649488631162002E-8</v>
      </c>
      <c r="AQ72" s="5">
        <f t="shared" si="80"/>
        <v>3.3765279177869603E-2</v>
      </c>
      <c r="AR72">
        <f t="shared" si="81"/>
        <v>10</v>
      </c>
      <c r="AS72" s="5">
        <f t="shared" si="82"/>
        <v>0.154143585092054</v>
      </c>
      <c r="AT72" s="8">
        <f t="shared" si="83"/>
        <v>0.154143585092054</v>
      </c>
      <c r="AU72" s="5">
        <f t="shared" si="84"/>
        <v>3.4254130020456498E-2</v>
      </c>
      <c r="AV72" s="5">
        <f t="shared" si="85"/>
        <v>0.152366517894961</v>
      </c>
      <c r="AW72" s="8">
        <f t="shared" si="86"/>
        <v>0.15414353244256537</v>
      </c>
      <c r="AX72" s="5">
        <f t="shared" si="87"/>
        <v>4.888508425868951E-4</v>
      </c>
      <c r="AY72" s="5">
        <f t="shared" si="88"/>
        <v>0.14821843141312108</v>
      </c>
      <c r="AZ72">
        <f t="shared" si="89"/>
        <v>7.3159985265596368E-3</v>
      </c>
      <c r="BA72">
        <f t="shared" si="90"/>
        <v>4.8497154800921955E-4</v>
      </c>
      <c r="BB72" s="5">
        <f t="shared" si="91"/>
        <v>94.999999999881823</v>
      </c>
      <c r="BC72" s="5">
        <f t="shared" si="92"/>
        <v>0.15601940148768995</v>
      </c>
      <c r="BD72" s="5">
        <f t="shared" si="93"/>
        <v>0.30448031867481562</v>
      </c>
      <c r="BE72" s="16">
        <f t="shared" si="94"/>
        <v>0.31252377452338909</v>
      </c>
      <c r="BF72">
        <f t="shared" si="95"/>
        <v>4.1480864828055894E-3</v>
      </c>
      <c r="BG72">
        <f t="shared" si="96"/>
        <v>0.1468275339342382</v>
      </c>
      <c r="BH72">
        <f t="shared" si="97"/>
        <v>3.8792945779730837E-6</v>
      </c>
      <c r="BI72">
        <f t="shared" si="98"/>
        <v>0.30196287871782151</v>
      </c>
      <c r="BJ72">
        <f t="shared" si="99"/>
        <v>1.7851980089705186</v>
      </c>
      <c r="BK72">
        <f t="shared" si="100"/>
        <v>0.30196287871782151</v>
      </c>
      <c r="BL72">
        <f t="shared" si="111"/>
        <v>0.78321285656161166</v>
      </c>
      <c r="BM72">
        <f t="shared" si="112"/>
        <v>0.15512952584171635</v>
      </c>
      <c r="BN72">
        <f t="shared" si="113"/>
        <v>0.30196287871782151</v>
      </c>
      <c r="BO72" s="5">
        <f t="shared" si="101"/>
        <v>0.78321285656161166</v>
      </c>
      <c r="BP72" s="5">
        <f t="shared" si="102"/>
        <v>0.31252377452338909</v>
      </c>
      <c r="BQ72" s="4">
        <f t="shared" si="114"/>
        <v>2.1914732621172002</v>
      </c>
      <c r="BR72" s="5">
        <f t="shared" si="115"/>
        <v>0.13675884707970942</v>
      </c>
      <c r="BS72">
        <f t="shared" si="104"/>
        <v>6.2752431391177703</v>
      </c>
      <c r="BT72">
        <f t="shared" si="105"/>
        <v>5.9732802603999486</v>
      </c>
      <c r="BU72">
        <f t="shared" si="116"/>
        <v>5.4920302825561587</v>
      </c>
      <c r="BV72">
        <f t="shared" si="117"/>
        <v>1.7851980089705186</v>
      </c>
      <c r="BW72">
        <f t="shared" si="118"/>
        <v>0.30196287871782151</v>
      </c>
      <c r="BX72" s="4">
        <f t="shared" si="119"/>
        <v>4.1743217753766801</v>
      </c>
      <c r="BY72">
        <f t="shared" si="120"/>
        <v>0.14079647714475071</v>
      </c>
      <c r="BZ72">
        <f t="shared" si="121"/>
        <v>26.463698074432116</v>
      </c>
      <c r="CA72">
        <f t="shared" si="122"/>
        <v>24.678500065461598</v>
      </c>
    </row>
    <row r="73" spans="1:79" x14ac:dyDescent="0.25">
      <c r="A73">
        <v>10</v>
      </c>
      <c r="B73">
        <v>1.54143585092054E-3</v>
      </c>
      <c r="C73">
        <v>1.54143585092054E-3</v>
      </c>
      <c r="D73">
        <v>3.4254130020456501E-4</v>
      </c>
      <c r="E73">
        <v>0</v>
      </c>
      <c r="F73">
        <v>0</v>
      </c>
      <c r="G73">
        <v>0</v>
      </c>
      <c r="H73" s="5">
        <v>1.7770671970930099E-5</v>
      </c>
      <c r="I73" s="5">
        <v>5.2649488631162003E-10</v>
      </c>
      <c r="J73">
        <v>3.3765279177869602E-4</v>
      </c>
      <c r="K73">
        <v>0.139053960209192</v>
      </c>
      <c r="L73">
        <v>0.14067571356050099</v>
      </c>
      <c r="M73">
        <v>4.4613899794023002E-4</v>
      </c>
      <c r="N73" t="s">
        <v>52</v>
      </c>
      <c r="O73">
        <v>0.1</v>
      </c>
      <c r="P73">
        <v>5</v>
      </c>
      <c r="Q73">
        <v>1.6497548842793E-3</v>
      </c>
      <c r="R73">
        <v>1.66899558413707E-3</v>
      </c>
      <c r="S73">
        <v>5.2930530695573503E-6</v>
      </c>
      <c r="T73">
        <v>0</v>
      </c>
      <c r="U73">
        <v>0</v>
      </c>
      <c r="V73">
        <v>0</v>
      </c>
      <c r="W73">
        <v>1.6104435974931999E-3</v>
      </c>
      <c r="X73">
        <v>7.9504080567360702E-5</v>
      </c>
      <c r="Y73">
        <v>5.2561088045772501E-6</v>
      </c>
      <c r="Z73">
        <v>1.81182114984423E-3</v>
      </c>
      <c r="AA73">
        <v>7.3258205444439506E-2</v>
      </c>
      <c r="AB73">
        <v>1.7027272859467399E-6</v>
      </c>
      <c r="AC73">
        <v>0.1</v>
      </c>
      <c r="AD73">
        <v>100</v>
      </c>
      <c r="AE73">
        <v>10.957366310586</v>
      </c>
      <c r="AF73">
        <v>92.357064280818008</v>
      </c>
      <c r="AG73">
        <v>20.038815867571198</v>
      </c>
      <c r="AH73">
        <f t="shared" si="76"/>
        <v>1.0957366310586001</v>
      </c>
      <c r="AI73">
        <f t="shared" si="106"/>
        <v>2.00388158675712</v>
      </c>
      <c r="AJ73">
        <f t="shared" si="107"/>
        <v>1.0957366310586001</v>
      </c>
      <c r="AK73">
        <f t="shared" si="108"/>
        <v>2.00388158675712</v>
      </c>
      <c r="AL73">
        <f t="shared" si="77"/>
        <v>0.61448665321480989</v>
      </c>
      <c r="AM73">
        <f t="shared" si="109"/>
        <v>0.4812499778437902</v>
      </c>
      <c r="AN73">
        <f t="shared" si="110"/>
        <v>0.61448665321480989</v>
      </c>
      <c r="AO73" s="5">
        <f t="shared" si="78"/>
        <v>1.7770671970930099E-3</v>
      </c>
      <c r="AP73" s="5">
        <f t="shared" si="79"/>
        <v>5.2649488631162002E-8</v>
      </c>
      <c r="AQ73" s="5">
        <f t="shared" si="80"/>
        <v>3.3765279177869603E-2</v>
      </c>
      <c r="AR73">
        <f t="shared" si="81"/>
        <v>10</v>
      </c>
      <c r="AS73" s="5">
        <f t="shared" si="82"/>
        <v>0.154143585092054</v>
      </c>
      <c r="AT73" s="8">
        <f t="shared" si="83"/>
        <v>0.154143585092054</v>
      </c>
      <c r="AU73" s="5">
        <f t="shared" si="84"/>
        <v>3.4254130020456498E-2</v>
      </c>
      <c r="AV73" s="5">
        <f t="shared" si="85"/>
        <v>0.152366517894961</v>
      </c>
      <c r="AW73" s="8">
        <f t="shared" si="86"/>
        <v>0.15414353244256537</v>
      </c>
      <c r="AX73" s="5">
        <f t="shared" si="87"/>
        <v>4.888508425868951E-4</v>
      </c>
      <c r="AY73" s="5">
        <f t="shared" si="88"/>
        <v>0.14873584285431127</v>
      </c>
      <c r="AZ73">
        <f t="shared" si="89"/>
        <v>7.3427634795470665E-3</v>
      </c>
      <c r="BA73">
        <f t="shared" si="90"/>
        <v>4.854387787313146E-4</v>
      </c>
      <c r="BB73" s="5">
        <f t="shared" si="91"/>
        <v>94.999999998308098</v>
      </c>
      <c r="BC73" s="5">
        <f t="shared" si="92"/>
        <v>0.15656404511258964</v>
      </c>
      <c r="BD73" s="5">
        <f t="shared" si="93"/>
        <v>0.30554260735626654</v>
      </c>
      <c r="BE73" s="16">
        <f t="shared" si="94"/>
        <v>0.3136135290039106</v>
      </c>
      <c r="BF73">
        <f t="shared" si="95"/>
        <v>3.6306750406699655E-3</v>
      </c>
      <c r="BG73">
        <f t="shared" si="96"/>
        <v>0.14680076896898253</v>
      </c>
      <c r="BH73">
        <f t="shared" si="97"/>
        <v>3.4120638555775979E-6</v>
      </c>
      <c r="BI73">
        <f t="shared" si="98"/>
        <v>0.30087312421087176</v>
      </c>
      <c r="BJ73">
        <f t="shared" si="99"/>
        <v>1.7030084625462483</v>
      </c>
      <c r="BK73">
        <f t="shared" si="100"/>
        <v>0.30087312421087176</v>
      </c>
      <c r="BL73">
        <f t="shared" si="111"/>
        <v>0.78212310205466196</v>
      </c>
      <c r="BM73">
        <f t="shared" si="112"/>
        <v>0.15406723714610585</v>
      </c>
      <c r="BN73">
        <f t="shared" si="113"/>
        <v>0.30087312421087176</v>
      </c>
      <c r="BO73" s="5">
        <f t="shared" si="101"/>
        <v>0.78212310205466196</v>
      </c>
      <c r="BP73" s="5">
        <f t="shared" si="102"/>
        <v>0.3136135290039106</v>
      </c>
      <c r="BQ73" s="4">
        <f t="shared" si="114"/>
        <v>2.1914732621172002</v>
      </c>
      <c r="BR73" s="5">
        <f t="shared" si="115"/>
        <v>0.13717601838910901</v>
      </c>
      <c r="BS73">
        <f t="shared" si="104"/>
        <v>6.2474544966565224</v>
      </c>
      <c r="BT73">
        <f t="shared" si="105"/>
        <v>5.9465813724456504</v>
      </c>
      <c r="BU73">
        <f t="shared" si="116"/>
        <v>5.4653313946018605</v>
      </c>
      <c r="BV73">
        <f t="shared" si="117"/>
        <v>1.7030084625462483</v>
      </c>
      <c r="BW73">
        <f t="shared" si="118"/>
        <v>0.30087312421087176</v>
      </c>
      <c r="BX73" s="4">
        <f t="shared" si="119"/>
        <v>4.0077631735142401</v>
      </c>
      <c r="BY73">
        <f t="shared" si="120"/>
        <v>0.13993154025894047</v>
      </c>
      <c r="BZ73">
        <f t="shared" si="121"/>
        <v>24.387834893212652</v>
      </c>
      <c r="CA73">
        <f t="shared" si="122"/>
        <v>22.684826430666405</v>
      </c>
    </row>
    <row r="74" spans="1:79" x14ac:dyDescent="0.25">
      <c r="A74">
        <v>10</v>
      </c>
      <c r="B74">
        <v>1.54143585092054E-3</v>
      </c>
      <c r="C74">
        <v>1.54143585092054E-3</v>
      </c>
      <c r="D74">
        <v>3.4254130020456501E-4</v>
      </c>
      <c r="E74">
        <v>0</v>
      </c>
      <c r="F74">
        <v>0</v>
      </c>
      <c r="G74">
        <v>0</v>
      </c>
      <c r="H74" s="5">
        <v>1.7770671970930099E-5</v>
      </c>
      <c r="I74" s="5">
        <v>5.2649488631162003E-10</v>
      </c>
      <c r="J74">
        <v>3.3765279177869602E-4</v>
      </c>
      <c r="K74">
        <v>0.139053960209192</v>
      </c>
      <c r="L74">
        <v>0.14067571356050099</v>
      </c>
      <c r="M74">
        <v>4.4613899794023002E-4</v>
      </c>
      <c r="N74" t="s">
        <v>52</v>
      </c>
      <c r="O74">
        <v>0.1</v>
      </c>
      <c r="P74">
        <v>6</v>
      </c>
      <c r="Q74">
        <v>1.6497548842793E-3</v>
      </c>
      <c r="R74">
        <v>1.66899558413707E-3</v>
      </c>
      <c r="S74">
        <v>5.2930530695573503E-6</v>
      </c>
      <c r="T74">
        <v>0</v>
      </c>
      <c r="U74">
        <v>0</v>
      </c>
      <c r="V74">
        <v>0</v>
      </c>
      <c r="W74">
        <v>1.6121253228941501E-3</v>
      </c>
      <c r="X74">
        <v>7.9591074029532495E-5</v>
      </c>
      <c r="Y74">
        <v>5.2576273786285902E-6</v>
      </c>
      <c r="Z74">
        <v>1.75622111317691E-3</v>
      </c>
      <c r="AA74">
        <v>7.4179598573032607E-2</v>
      </c>
      <c r="AB74">
        <v>1.65336358086057E-6</v>
      </c>
      <c r="AC74">
        <v>0.1</v>
      </c>
      <c r="AD74">
        <v>100</v>
      </c>
      <c r="AE74">
        <v>10.957366310586</v>
      </c>
      <c r="AF74">
        <v>92.357064280818008</v>
      </c>
      <c r="AG74">
        <v>19.788828374922502</v>
      </c>
      <c r="AH74">
        <f t="shared" si="76"/>
        <v>1.0957366310586001</v>
      </c>
      <c r="AI74">
        <f t="shared" si="106"/>
        <v>1.9788828374922502</v>
      </c>
      <c r="AJ74">
        <f t="shared" si="107"/>
        <v>1.0957366310586001</v>
      </c>
      <c r="AK74">
        <f t="shared" si="108"/>
        <v>1.9788828374922502</v>
      </c>
      <c r="AL74">
        <f t="shared" si="77"/>
        <v>0.61448665321480989</v>
      </c>
      <c r="AM74">
        <f t="shared" si="109"/>
        <v>0.4812499778437902</v>
      </c>
      <c r="AN74">
        <f t="shared" si="110"/>
        <v>0.61448665321480989</v>
      </c>
      <c r="AO74" s="5">
        <f t="shared" si="78"/>
        <v>1.7770671970930099E-3</v>
      </c>
      <c r="AP74" s="5">
        <f t="shared" si="79"/>
        <v>5.2649488631162002E-8</v>
      </c>
      <c r="AQ74" s="5">
        <f t="shared" si="80"/>
        <v>3.3765279177869603E-2</v>
      </c>
      <c r="AR74">
        <f t="shared" si="81"/>
        <v>10</v>
      </c>
      <c r="AS74" s="5">
        <f t="shared" si="82"/>
        <v>0.154143585092054</v>
      </c>
      <c r="AT74" s="8">
        <f t="shared" si="83"/>
        <v>0.154143585092054</v>
      </c>
      <c r="AU74" s="5">
        <f t="shared" si="84"/>
        <v>3.4254130020456498E-2</v>
      </c>
      <c r="AV74" s="5">
        <f t="shared" si="85"/>
        <v>0.152366517894961</v>
      </c>
      <c r="AW74" s="8">
        <f t="shared" si="86"/>
        <v>0.15414353244256537</v>
      </c>
      <c r="AX74" s="5">
        <f t="shared" si="87"/>
        <v>4.888508425868951E-4</v>
      </c>
      <c r="AY74" s="5">
        <f t="shared" si="88"/>
        <v>0.14889116207526951</v>
      </c>
      <c r="AZ74">
        <f t="shared" si="89"/>
        <v>7.3507979403248771E-3</v>
      </c>
      <c r="BA74">
        <f t="shared" si="90"/>
        <v>4.8557902977258938E-4</v>
      </c>
      <c r="BB74" s="5">
        <f t="shared" si="91"/>
        <v>94.99999998862414</v>
      </c>
      <c r="BC74" s="5">
        <f t="shared" si="92"/>
        <v>0.15672753904536696</v>
      </c>
      <c r="BD74" s="5">
        <f t="shared" si="93"/>
        <v>0.30586149063552281</v>
      </c>
      <c r="BE74" s="16">
        <f t="shared" si="94"/>
        <v>0.31394065712050651</v>
      </c>
      <c r="BF74">
        <f t="shared" si="95"/>
        <v>3.4753558197073218E-3</v>
      </c>
      <c r="BG74">
        <f t="shared" si="96"/>
        <v>0.14679273450823885</v>
      </c>
      <c r="BH74">
        <f t="shared" si="97"/>
        <v>3.2718128142997123E-6</v>
      </c>
      <c r="BI74">
        <f t="shared" si="98"/>
        <v>0.30054599609433524</v>
      </c>
      <c r="BJ74">
        <f t="shared" si="99"/>
        <v>1.6783368413979149</v>
      </c>
      <c r="BK74">
        <f t="shared" si="100"/>
        <v>0.30054599609433524</v>
      </c>
      <c r="BL74">
        <f t="shared" si="111"/>
        <v>0.7817959739381255</v>
      </c>
      <c r="BM74">
        <f t="shared" si="112"/>
        <v>0.15374835386687494</v>
      </c>
      <c r="BN74">
        <f t="shared" si="113"/>
        <v>0.30054599609433524</v>
      </c>
      <c r="BO74" s="5">
        <f t="shared" si="101"/>
        <v>0.7817959739381255</v>
      </c>
      <c r="BP74" s="5">
        <f t="shared" si="102"/>
        <v>0.31394065712050651</v>
      </c>
      <c r="BQ74" s="4">
        <f t="shared" si="114"/>
        <v>2.1914732621172002</v>
      </c>
      <c r="BR74" s="5">
        <f t="shared" si="115"/>
        <v>0.13730117620253768</v>
      </c>
      <c r="BS74">
        <f t="shared" si="104"/>
        <v>6.2391489304831307</v>
      </c>
      <c r="BT74">
        <f t="shared" si="105"/>
        <v>5.9386029343887952</v>
      </c>
      <c r="BU74">
        <f t="shared" si="116"/>
        <v>5.4573529565450052</v>
      </c>
      <c r="BV74">
        <f t="shared" si="117"/>
        <v>1.6783368413979149</v>
      </c>
      <c r="BW74">
        <f t="shared" si="118"/>
        <v>0.30054599609433524</v>
      </c>
      <c r="BX74" s="4">
        <f t="shared" si="119"/>
        <v>3.9577656749845005</v>
      </c>
      <c r="BY74">
        <f t="shared" si="120"/>
        <v>0.13966692893510427</v>
      </c>
      <c r="BZ74">
        <f t="shared" si="121"/>
        <v>23.779659195603028</v>
      </c>
      <c r="CA74">
        <f t="shared" si="122"/>
        <v>22.101322354205113</v>
      </c>
    </row>
    <row r="75" spans="1:79" x14ac:dyDescent="0.25">
      <c r="A75">
        <v>10</v>
      </c>
      <c r="B75">
        <v>1.54143585092054E-3</v>
      </c>
      <c r="C75">
        <v>1.54143585092054E-3</v>
      </c>
      <c r="D75">
        <v>3.4254130020456501E-4</v>
      </c>
      <c r="E75">
        <v>0</v>
      </c>
      <c r="F75">
        <v>0</v>
      </c>
      <c r="G75">
        <v>0</v>
      </c>
      <c r="H75" s="5">
        <v>1.7770671970930099E-5</v>
      </c>
      <c r="I75" s="5">
        <v>5.2649488631162003E-10</v>
      </c>
      <c r="J75">
        <v>3.3765279177869602E-4</v>
      </c>
      <c r="K75">
        <v>0.139053960209192</v>
      </c>
      <c r="L75">
        <v>0.14067571356050099</v>
      </c>
      <c r="M75">
        <v>4.4613899794023002E-4</v>
      </c>
      <c r="N75" t="s">
        <v>52</v>
      </c>
      <c r="O75">
        <v>0.1</v>
      </c>
      <c r="P75">
        <v>7</v>
      </c>
      <c r="Q75">
        <v>1.6497548842793E-3</v>
      </c>
      <c r="R75">
        <v>1.66899558413707E-3</v>
      </c>
      <c r="S75">
        <v>5.2930530695573503E-6</v>
      </c>
      <c r="T75">
        <v>0</v>
      </c>
      <c r="U75">
        <v>0</v>
      </c>
      <c r="V75">
        <v>0</v>
      </c>
      <c r="W75">
        <v>1.6126141989109301E-3</v>
      </c>
      <c r="X75">
        <v>7.9616362695628595E-5</v>
      </c>
      <c r="Y75">
        <v>5.2580688259994502E-6</v>
      </c>
      <c r="Z75">
        <v>1.7397937197708099E-3</v>
      </c>
      <c r="AA75">
        <v>7.4451829856534701E-2</v>
      </c>
      <c r="AB75">
        <v>1.63877878475564E-6</v>
      </c>
      <c r="AC75">
        <v>0.1</v>
      </c>
      <c r="AD75">
        <v>100</v>
      </c>
      <c r="AE75">
        <v>10.957366310586</v>
      </c>
      <c r="AF75">
        <v>92.357064280818008</v>
      </c>
      <c r="AG75">
        <v>19.716157306581898</v>
      </c>
      <c r="AH75">
        <f t="shared" si="76"/>
        <v>1.0957366310586001</v>
      </c>
      <c r="AI75">
        <f t="shared" si="106"/>
        <v>1.9716157306581898</v>
      </c>
      <c r="AJ75">
        <f t="shared" si="107"/>
        <v>1.0957366310586001</v>
      </c>
      <c r="AK75">
        <f t="shared" si="108"/>
        <v>1.9716157306581898</v>
      </c>
      <c r="AL75">
        <f t="shared" si="77"/>
        <v>0.61448665321480989</v>
      </c>
      <c r="AM75">
        <f t="shared" si="109"/>
        <v>0.4812499778437902</v>
      </c>
      <c r="AN75">
        <f t="shared" si="110"/>
        <v>0.61448665321480989</v>
      </c>
      <c r="AO75" s="5">
        <f t="shared" si="78"/>
        <v>1.7770671970930099E-3</v>
      </c>
      <c r="AP75" s="5">
        <f t="shared" si="79"/>
        <v>5.2649488631162002E-8</v>
      </c>
      <c r="AQ75" s="5">
        <f t="shared" si="80"/>
        <v>3.3765279177869603E-2</v>
      </c>
      <c r="AR75">
        <f t="shared" si="81"/>
        <v>10</v>
      </c>
      <c r="AS75" s="5">
        <f t="shared" si="82"/>
        <v>0.154143585092054</v>
      </c>
      <c r="AT75" s="8">
        <f t="shared" si="83"/>
        <v>0.154143585092054</v>
      </c>
      <c r="AU75" s="5">
        <f t="shared" si="84"/>
        <v>3.4254130020456498E-2</v>
      </c>
      <c r="AV75" s="5">
        <f t="shared" si="85"/>
        <v>0.152366517894961</v>
      </c>
      <c r="AW75" s="8">
        <f t="shared" si="86"/>
        <v>0.15414353244256537</v>
      </c>
      <c r="AX75" s="5">
        <f t="shared" si="87"/>
        <v>4.888508425868951E-4</v>
      </c>
      <c r="AY75" s="5">
        <f t="shared" si="88"/>
        <v>0.1489363132289766</v>
      </c>
      <c r="AZ75">
        <f t="shared" si="89"/>
        <v>7.353133527285091E-3</v>
      </c>
      <c r="BA75">
        <f t="shared" si="90"/>
        <v>4.8561980055579647E-4</v>
      </c>
      <c r="BB75" s="5">
        <f t="shared" si="91"/>
        <v>94.999999999999986</v>
      </c>
      <c r="BC75" s="5">
        <f t="shared" si="92"/>
        <v>0.1567750665568175</v>
      </c>
      <c r="BD75" s="5">
        <f t="shared" si="93"/>
        <v>0.30595418968607202</v>
      </c>
      <c r="BE75" s="16">
        <f t="shared" si="94"/>
        <v>0.31403575291419078</v>
      </c>
      <c r="BF75">
        <f t="shared" si="95"/>
        <v>3.4302046660004554E-3</v>
      </c>
      <c r="BG75">
        <f t="shared" si="96"/>
        <v>0.14679039892143089</v>
      </c>
      <c r="BH75">
        <f t="shared" si="97"/>
        <v>3.2310420310931314E-6</v>
      </c>
      <c r="BI75">
        <f t="shared" si="98"/>
        <v>0.30045090030095595</v>
      </c>
      <c r="BJ75">
        <f t="shared" si="99"/>
        <v>1.671164830357234</v>
      </c>
      <c r="BK75">
        <f t="shared" si="100"/>
        <v>0.30045090030095595</v>
      </c>
      <c r="BL75">
        <f t="shared" si="111"/>
        <v>0.78170087814474609</v>
      </c>
      <c r="BM75">
        <f t="shared" si="112"/>
        <v>0.15365565481647844</v>
      </c>
      <c r="BN75">
        <f t="shared" si="113"/>
        <v>0.30045090030095595</v>
      </c>
      <c r="BO75" s="5">
        <f t="shared" si="101"/>
        <v>0.78170087814474609</v>
      </c>
      <c r="BP75" s="5">
        <f t="shared" si="102"/>
        <v>0.31403575291419078</v>
      </c>
      <c r="BQ75" s="4">
        <f t="shared" si="114"/>
        <v>2.1914732621172002</v>
      </c>
      <c r="BR75" s="5">
        <f t="shared" si="115"/>
        <v>0.13733755331382641</v>
      </c>
      <c r="BS75">
        <f t="shared" si="104"/>
        <v>6.2367376296315715</v>
      </c>
      <c r="BT75">
        <f t="shared" si="105"/>
        <v>5.9362867293306154</v>
      </c>
      <c r="BU75">
        <f t="shared" si="116"/>
        <v>5.4550367514868254</v>
      </c>
      <c r="BV75">
        <f t="shared" si="117"/>
        <v>1.671164830357234</v>
      </c>
      <c r="BW75">
        <f t="shared" si="118"/>
        <v>0.30045090030095595</v>
      </c>
      <c r="BX75" s="4">
        <f t="shared" si="119"/>
        <v>3.9432314613163797</v>
      </c>
      <c r="BY75">
        <f t="shared" si="120"/>
        <v>0.13958955238535267</v>
      </c>
      <c r="BZ75">
        <f t="shared" si="121"/>
        <v>23.604165295688603</v>
      </c>
      <c r="CA75">
        <f t="shared" si="122"/>
        <v>21.933000465331368</v>
      </c>
    </row>
    <row r="76" spans="1:79" x14ac:dyDescent="0.25">
      <c r="A76">
        <v>10</v>
      </c>
      <c r="B76">
        <v>1.54143585092054E-3</v>
      </c>
      <c r="C76">
        <v>1.54143585092054E-3</v>
      </c>
      <c r="D76">
        <v>3.4254130020456501E-4</v>
      </c>
      <c r="E76">
        <v>0</v>
      </c>
      <c r="F76">
        <v>0</v>
      </c>
      <c r="G76">
        <v>0</v>
      </c>
      <c r="H76" s="5">
        <v>1.7770671970930099E-5</v>
      </c>
      <c r="I76" s="5">
        <v>5.2649488631162003E-10</v>
      </c>
      <c r="J76">
        <v>3.3765279177869602E-4</v>
      </c>
      <c r="K76">
        <v>0.139053960209192</v>
      </c>
      <c r="L76">
        <v>0.14067571356050099</v>
      </c>
      <c r="M76">
        <v>4.4613899794023002E-4</v>
      </c>
      <c r="N76" t="s">
        <v>52</v>
      </c>
      <c r="O76">
        <v>0.1</v>
      </c>
      <c r="P76">
        <v>8</v>
      </c>
      <c r="Q76">
        <v>1.6497548842793E-3</v>
      </c>
      <c r="R76">
        <v>1.66899558413707E-3</v>
      </c>
      <c r="S76">
        <v>5.2930530695573503E-6</v>
      </c>
      <c r="T76">
        <v>0</v>
      </c>
      <c r="U76">
        <v>0</v>
      </c>
      <c r="V76">
        <v>0</v>
      </c>
      <c r="W76">
        <v>1.61275350560018E-3</v>
      </c>
      <c r="X76">
        <v>7.9623568834895101E-5</v>
      </c>
      <c r="Y76">
        <v>5.2581946177476304E-6</v>
      </c>
      <c r="Z76">
        <v>1.7350904900191701E-3</v>
      </c>
      <c r="AA76">
        <v>7.4529770779203794E-2</v>
      </c>
      <c r="AB76">
        <v>1.63460309858261E-6</v>
      </c>
      <c r="AC76">
        <v>0.1</v>
      </c>
      <c r="AD76">
        <v>100</v>
      </c>
      <c r="AE76">
        <v>10.957366310586</v>
      </c>
      <c r="AF76">
        <v>92.357064280818008</v>
      </c>
      <c r="AG76">
        <v>19.695449478278203</v>
      </c>
      <c r="AH76">
        <f t="shared" si="76"/>
        <v>1.0957366310586001</v>
      </c>
      <c r="AI76">
        <f t="shared" si="106"/>
        <v>1.9695449478278204</v>
      </c>
      <c r="AJ76">
        <f t="shared" si="107"/>
        <v>1.0957366310586001</v>
      </c>
      <c r="AK76">
        <f t="shared" si="108"/>
        <v>1.9695449478278204</v>
      </c>
      <c r="AL76">
        <f t="shared" si="77"/>
        <v>0.61448665321480989</v>
      </c>
      <c r="AM76">
        <f t="shared" si="109"/>
        <v>0.4812499778437902</v>
      </c>
      <c r="AN76">
        <f t="shared" si="110"/>
        <v>0.61448665321480989</v>
      </c>
      <c r="AO76" s="5">
        <f t="shared" si="78"/>
        <v>1.7770671970930099E-3</v>
      </c>
      <c r="AP76" s="5">
        <f t="shared" si="79"/>
        <v>5.2649488631162002E-8</v>
      </c>
      <c r="AQ76" s="5">
        <f t="shared" si="80"/>
        <v>3.3765279177869603E-2</v>
      </c>
      <c r="AR76">
        <f t="shared" si="81"/>
        <v>10</v>
      </c>
      <c r="AS76" s="5">
        <f t="shared" si="82"/>
        <v>0.154143585092054</v>
      </c>
      <c r="AT76" s="8">
        <f t="shared" si="83"/>
        <v>0.154143585092054</v>
      </c>
      <c r="AU76" s="5">
        <f t="shared" si="84"/>
        <v>3.4254130020456498E-2</v>
      </c>
      <c r="AV76" s="5">
        <f t="shared" si="85"/>
        <v>0.152366517894961</v>
      </c>
      <c r="AW76" s="8">
        <f t="shared" si="86"/>
        <v>0.15414353244256537</v>
      </c>
      <c r="AX76" s="5">
        <f t="shared" si="87"/>
        <v>4.888508425868951E-4</v>
      </c>
      <c r="AY76" s="5">
        <f t="shared" si="88"/>
        <v>0.14894917918583039</v>
      </c>
      <c r="AZ76">
        <f t="shared" si="89"/>
        <v>7.3537990651525442E-3</v>
      </c>
      <c r="BA76">
        <f t="shared" si="90"/>
        <v>4.8563141831236916E-4</v>
      </c>
      <c r="BB76" s="5">
        <f t="shared" si="91"/>
        <v>94.999999999999901</v>
      </c>
      <c r="BC76" s="5">
        <f t="shared" si="92"/>
        <v>0.15678860966929531</v>
      </c>
      <c r="BD76" s="5">
        <f t="shared" si="93"/>
        <v>0.30598060456428189</v>
      </c>
      <c r="BE76" s="16">
        <f t="shared" si="94"/>
        <v>0.31406285075690299</v>
      </c>
      <c r="BF76">
        <f t="shared" si="95"/>
        <v>3.4173387086413537E-3</v>
      </c>
      <c r="BG76">
        <f t="shared" si="96"/>
        <v>0.14678973350094635</v>
      </c>
      <c r="BH76">
        <f t="shared" si="97"/>
        <v>3.2194242745170804E-6</v>
      </c>
      <c r="BI76">
        <f t="shared" si="98"/>
        <v>0.30042380269199898</v>
      </c>
      <c r="BJ76">
        <f t="shared" si="99"/>
        <v>1.6691211451358214</v>
      </c>
      <c r="BK76">
        <f t="shared" si="100"/>
        <v>0.30042380269199898</v>
      </c>
      <c r="BL76">
        <f t="shared" si="111"/>
        <v>0.78167378053578918</v>
      </c>
      <c r="BM76">
        <f t="shared" si="112"/>
        <v>0.15362924005464085</v>
      </c>
      <c r="BN76">
        <f t="shared" si="113"/>
        <v>0.30042380269199898</v>
      </c>
      <c r="BO76" s="5">
        <f t="shared" si="101"/>
        <v>0.78167378053578918</v>
      </c>
      <c r="BP76" s="5">
        <f t="shared" si="102"/>
        <v>0.31406285075690299</v>
      </c>
      <c r="BQ76" s="4">
        <f t="shared" si="114"/>
        <v>2.1914732621172002</v>
      </c>
      <c r="BR76" s="5">
        <f t="shared" si="115"/>
        <v>0.13734791857949982</v>
      </c>
      <c r="BS76">
        <f t="shared" si="104"/>
        <v>6.2360507805974521</v>
      </c>
      <c r="BT76">
        <f t="shared" si="105"/>
        <v>5.9356269779054536</v>
      </c>
      <c r="BU76">
        <f t="shared" si="116"/>
        <v>5.4543770000616636</v>
      </c>
      <c r="BV76">
        <f t="shared" si="117"/>
        <v>1.6691211451358214</v>
      </c>
      <c r="BW76">
        <f t="shared" si="118"/>
        <v>0.30042380269199898</v>
      </c>
      <c r="BX76" s="4">
        <f t="shared" si="119"/>
        <v>3.9390898956556408</v>
      </c>
      <c r="BY76">
        <f t="shared" si="120"/>
        <v>0.13956746572840753</v>
      </c>
      <c r="BZ76">
        <f t="shared" si="121"/>
        <v>23.554265326505281</v>
      </c>
      <c r="CA76">
        <f t="shared" si="122"/>
        <v>21.885144181369458</v>
      </c>
    </row>
    <row r="77" spans="1:79" x14ac:dyDescent="0.25">
      <c r="A77">
        <v>10</v>
      </c>
      <c r="B77">
        <v>1.54143585092054E-3</v>
      </c>
      <c r="C77">
        <v>1.54143585092054E-3</v>
      </c>
      <c r="D77">
        <v>3.4254130020456501E-4</v>
      </c>
      <c r="E77">
        <v>0</v>
      </c>
      <c r="F77">
        <v>0</v>
      </c>
      <c r="G77">
        <v>0</v>
      </c>
      <c r="H77" s="5">
        <v>1.7770671970930099E-5</v>
      </c>
      <c r="I77" s="5">
        <v>5.2649488631162003E-10</v>
      </c>
      <c r="J77">
        <v>3.3765279177869602E-4</v>
      </c>
      <c r="K77">
        <v>0.139053960209192</v>
      </c>
      <c r="L77">
        <v>0.14067571356050099</v>
      </c>
      <c r="M77">
        <v>4.4613899794023002E-4</v>
      </c>
      <c r="N77" t="s">
        <v>52</v>
      </c>
      <c r="O77">
        <v>0.1</v>
      </c>
      <c r="P77">
        <v>9</v>
      </c>
      <c r="Q77">
        <v>1.6497548842793E-3</v>
      </c>
      <c r="R77">
        <v>1.66899558413707E-3</v>
      </c>
      <c r="S77">
        <v>5.2930530695573503E-6</v>
      </c>
      <c r="T77">
        <v>0</v>
      </c>
      <c r="U77">
        <v>0</v>
      </c>
      <c r="V77">
        <v>0</v>
      </c>
      <c r="W77">
        <v>1.6127928524710801E-3</v>
      </c>
      <c r="X77">
        <v>7.9625604160899597E-5</v>
      </c>
      <c r="Y77">
        <v>5.2582301473474496E-6</v>
      </c>
      <c r="Z77">
        <v>1.73376028278021E-3</v>
      </c>
      <c r="AA77">
        <v>7.4551814690152901E-2</v>
      </c>
      <c r="AB77">
        <v>1.6334220957110999E-6</v>
      </c>
      <c r="AC77">
        <v>0.1</v>
      </c>
      <c r="AD77">
        <v>100</v>
      </c>
      <c r="AE77">
        <v>10.957366310586</v>
      </c>
      <c r="AF77">
        <v>92.357064280818008</v>
      </c>
      <c r="AG77">
        <v>19.6896005841338</v>
      </c>
      <c r="AH77">
        <f t="shared" si="76"/>
        <v>1.0957366310586001</v>
      </c>
      <c r="AI77">
        <f t="shared" si="106"/>
        <v>1.96896005841338</v>
      </c>
      <c r="AJ77">
        <f t="shared" si="107"/>
        <v>1.0957366310586001</v>
      </c>
      <c r="AK77">
        <f t="shared" si="108"/>
        <v>1.96896005841338</v>
      </c>
      <c r="AL77">
        <f t="shared" si="77"/>
        <v>0.61448665321480989</v>
      </c>
      <c r="AM77">
        <f t="shared" si="109"/>
        <v>0.4812499778437902</v>
      </c>
      <c r="AN77">
        <f t="shared" si="110"/>
        <v>0.61448665321480989</v>
      </c>
      <c r="AO77" s="5">
        <f t="shared" si="78"/>
        <v>1.7770671970930099E-3</v>
      </c>
      <c r="AP77" s="5">
        <f t="shared" si="79"/>
        <v>5.2649488631162002E-8</v>
      </c>
      <c r="AQ77" s="5">
        <f t="shared" si="80"/>
        <v>3.3765279177869603E-2</v>
      </c>
      <c r="AR77">
        <f t="shared" si="81"/>
        <v>10</v>
      </c>
      <c r="AS77" s="5">
        <f t="shared" si="82"/>
        <v>0.154143585092054</v>
      </c>
      <c r="AT77" s="8">
        <f t="shared" si="83"/>
        <v>0.154143585092054</v>
      </c>
      <c r="AU77" s="5">
        <f t="shared" si="84"/>
        <v>3.4254130020456498E-2</v>
      </c>
      <c r="AV77" s="5">
        <f t="shared" si="85"/>
        <v>0.152366517894961</v>
      </c>
      <c r="AW77" s="8">
        <f t="shared" si="86"/>
        <v>0.15414353244256537</v>
      </c>
      <c r="AX77" s="5">
        <f t="shared" si="87"/>
        <v>4.888508425868951E-4</v>
      </c>
      <c r="AY77" s="5">
        <f t="shared" si="88"/>
        <v>0.14895281314731537</v>
      </c>
      <c r="AZ77">
        <f t="shared" si="89"/>
        <v>7.3539870418871736E-3</v>
      </c>
      <c r="BA77">
        <f t="shared" si="90"/>
        <v>4.8563469972190355E-4</v>
      </c>
      <c r="BB77" s="5">
        <f t="shared" si="91"/>
        <v>95.000000001809497</v>
      </c>
      <c r="BC77" s="5">
        <f t="shared" si="92"/>
        <v>0.15679243488892444</v>
      </c>
      <c r="BD77" s="5">
        <f t="shared" si="93"/>
        <v>0.30598806538610074</v>
      </c>
      <c r="BE77" s="16">
        <f t="shared" si="94"/>
        <v>0.31407050447757079</v>
      </c>
      <c r="BF77">
        <f t="shared" si="95"/>
        <v>3.4137047476577205E-3</v>
      </c>
      <c r="BG77">
        <f t="shared" si="96"/>
        <v>0.14678954540714692</v>
      </c>
      <c r="BH77">
        <f t="shared" si="97"/>
        <v>3.2161428649850329E-6</v>
      </c>
      <c r="BI77">
        <f t="shared" si="98"/>
        <v>0.30041614873820427</v>
      </c>
      <c r="BJ77">
        <f t="shared" si="99"/>
        <v>1.6685439096751757</v>
      </c>
      <c r="BK77">
        <f t="shared" si="100"/>
        <v>0.30041614873820427</v>
      </c>
      <c r="BL77">
        <f t="shared" si="111"/>
        <v>0.78166612658199441</v>
      </c>
      <c r="BM77">
        <f t="shared" si="112"/>
        <v>0.15362177911675984</v>
      </c>
      <c r="BN77">
        <f t="shared" si="113"/>
        <v>0.30041614873820427</v>
      </c>
      <c r="BO77" s="5">
        <f t="shared" si="101"/>
        <v>0.78166612658199441</v>
      </c>
      <c r="BP77" s="5">
        <f t="shared" si="102"/>
        <v>0.31407050447757079</v>
      </c>
      <c r="BQ77" s="4">
        <f t="shared" si="114"/>
        <v>2.1914732621172002</v>
      </c>
      <c r="BR77" s="5">
        <f t="shared" si="115"/>
        <v>0.1373508461833175</v>
      </c>
      <c r="BS77">
        <f t="shared" si="104"/>
        <v>6.2358567999678582</v>
      </c>
      <c r="BT77">
        <f t="shared" si="105"/>
        <v>5.935440651229654</v>
      </c>
      <c r="BU77">
        <f t="shared" si="116"/>
        <v>5.4541906733858641</v>
      </c>
      <c r="BV77">
        <f t="shared" si="117"/>
        <v>1.6685439096751757</v>
      </c>
      <c r="BW77">
        <f t="shared" si="118"/>
        <v>0.30041614873820427</v>
      </c>
      <c r="BX77" s="4">
        <f t="shared" si="119"/>
        <v>3.9379201168267599</v>
      </c>
      <c r="BY77">
        <f t="shared" si="120"/>
        <v>0.13956122419395864</v>
      </c>
      <c r="BZ77">
        <f t="shared" si="121"/>
        <v>23.540179823111199</v>
      </c>
      <c r="CA77">
        <f t="shared" si="122"/>
        <v>21.871635913436023</v>
      </c>
    </row>
    <row r="78" spans="1:79" x14ac:dyDescent="0.25">
      <c r="A78">
        <v>10</v>
      </c>
      <c r="B78">
        <v>1.54143585092054E-3</v>
      </c>
      <c r="C78">
        <v>1.54143585092054E-3</v>
      </c>
      <c r="D78">
        <v>3.4254130020456501E-4</v>
      </c>
      <c r="E78">
        <v>0</v>
      </c>
      <c r="F78">
        <v>0</v>
      </c>
      <c r="G78">
        <v>0</v>
      </c>
      <c r="H78" s="5">
        <v>1.7770671970930099E-5</v>
      </c>
      <c r="I78" s="5">
        <v>5.2649488631162003E-10</v>
      </c>
      <c r="J78">
        <v>3.3765279177869602E-4</v>
      </c>
      <c r="K78">
        <v>0.139053960209192</v>
      </c>
      <c r="L78">
        <v>0.14067571356050099</v>
      </c>
      <c r="M78">
        <v>4.4613899794023002E-4</v>
      </c>
      <c r="N78" t="s">
        <v>52</v>
      </c>
      <c r="O78">
        <v>0.1</v>
      </c>
      <c r="P78">
        <v>10</v>
      </c>
      <c r="Q78">
        <v>1.6497548842793E-3</v>
      </c>
      <c r="R78">
        <v>1.66899558413707E-3</v>
      </c>
      <c r="S78">
        <v>5.2930530695573503E-6</v>
      </c>
      <c r="T78">
        <v>0</v>
      </c>
      <c r="U78">
        <v>0</v>
      </c>
      <c r="V78">
        <v>0</v>
      </c>
      <c r="W78">
        <v>1.612803928521E-3</v>
      </c>
      <c r="X78">
        <v>7.96261771409158E-5</v>
      </c>
      <c r="Y78">
        <v>5.2582401488513497E-6</v>
      </c>
      <c r="Z78">
        <v>1.7333856890078599E-3</v>
      </c>
      <c r="AA78">
        <v>7.4558022378498803E-2</v>
      </c>
      <c r="AB78">
        <v>1.6330895187087101E-6</v>
      </c>
      <c r="AC78">
        <v>0.1</v>
      </c>
      <c r="AD78">
        <v>100</v>
      </c>
      <c r="AE78">
        <v>10.957366310586</v>
      </c>
      <c r="AF78">
        <v>92.357064280818008</v>
      </c>
      <c r="AG78">
        <v>19.6879541421767</v>
      </c>
      <c r="AH78">
        <f t="shared" si="76"/>
        <v>1.0957366310586001</v>
      </c>
      <c r="AI78">
        <f t="shared" si="106"/>
        <v>1.96879541421767</v>
      </c>
      <c r="AJ78">
        <f t="shared" si="107"/>
        <v>1.0957366310586001</v>
      </c>
      <c r="AK78">
        <f t="shared" si="108"/>
        <v>1.96879541421767</v>
      </c>
      <c r="AL78">
        <f t="shared" si="77"/>
        <v>0.61448665321480989</v>
      </c>
      <c r="AM78">
        <f t="shared" si="109"/>
        <v>0.4812499778437902</v>
      </c>
      <c r="AN78">
        <f t="shared" si="110"/>
        <v>0.61448665321480989</v>
      </c>
      <c r="AO78" s="5">
        <f t="shared" si="78"/>
        <v>1.7770671970930099E-3</v>
      </c>
      <c r="AP78" s="5">
        <f t="shared" si="79"/>
        <v>5.2649488631162002E-8</v>
      </c>
      <c r="AQ78" s="5">
        <f t="shared" si="80"/>
        <v>3.3765279177869603E-2</v>
      </c>
      <c r="AR78">
        <f t="shared" si="81"/>
        <v>10</v>
      </c>
      <c r="AS78" s="5">
        <f t="shared" si="82"/>
        <v>0.154143585092054</v>
      </c>
      <c r="AT78" s="8">
        <f t="shared" si="83"/>
        <v>0.154143585092054</v>
      </c>
      <c r="AU78" s="5">
        <f t="shared" si="84"/>
        <v>3.4254130020456498E-2</v>
      </c>
      <c r="AV78" s="5">
        <f t="shared" si="85"/>
        <v>0.152366517894961</v>
      </c>
      <c r="AW78" s="8">
        <f t="shared" si="86"/>
        <v>0.15414353244256537</v>
      </c>
      <c r="AX78" s="5">
        <f t="shared" si="87"/>
        <v>4.888508425868951E-4</v>
      </c>
      <c r="AY78" s="5">
        <f t="shared" si="88"/>
        <v>0.1489538360987698</v>
      </c>
      <c r="AZ78">
        <f t="shared" si="89"/>
        <v>7.354039960639362E-3</v>
      </c>
      <c r="BA78">
        <f t="shared" si="90"/>
        <v>4.8563562343144215E-4</v>
      </c>
      <c r="BB78" s="5">
        <f t="shared" si="91"/>
        <v>95.000000000045432</v>
      </c>
      <c r="BC78" s="5">
        <f t="shared" si="92"/>
        <v>0.15679351168284059</v>
      </c>
      <c r="BD78" s="5">
        <f t="shared" si="93"/>
        <v>0.30599016559332615</v>
      </c>
      <c r="BE78" s="16">
        <f t="shared" si="94"/>
        <v>0.31407265898911263</v>
      </c>
      <c r="BF78">
        <f t="shared" si="95"/>
        <v>3.4126817955892111E-3</v>
      </c>
      <c r="BG78">
        <f t="shared" si="96"/>
        <v>0.14678949255192686</v>
      </c>
      <c r="BH78">
        <f t="shared" si="97"/>
        <v>3.2152191554406501E-6</v>
      </c>
      <c r="BI78">
        <f t="shared" si="98"/>
        <v>0.30041399435249844</v>
      </c>
      <c r="BJ78">
        <f t="shared" si="99"/>
        <v>1.6683814198651716</v>
      </c>
      <c r="BK78">
        <f t="shared" si="100"/>
        <v>0.30041399435249844</v>
      </c>
      <c r="BL78">
        <f t="shared" si="111"/>
        <v>0.78166397219628858</v>
      </c>
      <c r="BM78">
        <f t="shared" si="112"/>
        <v>0.15361967897183842</v>
      </c>
      <c r="BN78">
        <f t="shared" si="113"/>
        <v>0.30041399435249844</v>
      </c>
      <c r="BO78" s="5">
        <f t="shared" si="101"/>
        <v>0.78166397219628858</v>
      </c>
      <c r="BP78" s="5">
        <f t="shared" si="102"/>
        <v>0.31407265898911263</v>
      </c>
      <c r="BQ78" s="4">
        <f t="shared" si="114"/>
        <v>2.1914732621172002</v>
      </c>
      <c r="BR78" s="5">
        <f t="shared" si="115"/>
        <v>0.13735167029642503</v>
      </c>
      <c r="BS78">
        <f t="shared" si="104"/>
        <v>6.2358021978604015</v>
      </c>
      <c r="BT78">
        <f t="shared" si="105"/>
        <v>5.9353882035079026</v>
      </c>
      <c r="BU78">
        <f t="shared" si="116"/>
        <v>5.4541382256641127</v>
      </c>
      <c r="BV78">
        <f t="shared" si="117"/>
        <v>1.6683814198651716</v>
      </c>
      <c r="BW78">
        <f t="shared" si="118"/>
        <v>0.30041399435249844</v>
      </c>
      <c r="BX78" s="4">
        <f t="shared" si="119"/>
        <v>3.93759082843534</v>
      </c>
      <c r="BY78">
        <f t="shared" si="120"/>
        <v>0.13955946705576014</v>
      </c>
      <c r="BZ78">
        <f t="shared" si="121"/>
        <v>23.536215477837363</v>
      </c>
      <c r="CA78">
        <f t="shared" si="122"/>
        <v>21.867834057972193</v>
      </c>
    </row>
    <row r="79" spans="1:79" x14ac:dyDescent="0.25">
      <c r="A79">
        <v>10</v>
      </c>
      <c r="B79">
        <v>1.54143585092054E-3</v>
      </c>
      <c r="C79">
        <v>1.54143585092054E-3</v>
      </c>
      <c r="D79">
        <v>3.4254130020456501E-4</v>
      </c>
      <c r="E79">
        <v>0</v>
      </c>
      <c r="F79">
        <v>0</v>
      </c>
      <c r="G79">
        <v>0</v>
      </c>
      <c r="H79" s="5">
        <v>1.7770671970930099E-5</v>
      </c>
      <c r="I79" s="5">
        <v>5.2649488631162003E-10</v>
      </c>
      <c r="J79">
        <v>3.3765279177869602E-4</v>
      </c>
      <c r="K79">
        <v>0.139053960209192</v>
      </c>
      <c r="L79">
        <v>0.14067571356050099</v>
      </c>
      <c r="M79">
        <v>4.4613899794023002E-4</v>
      </c>
      <c r="N79" t="s">
        <v>52</v>
      </c>
      <c r="O79">
        <v>0.1</v>
      </c>
      <c r="P79">
        <v>11</v>
      </c>
      <c r="Q79">
        <v>1.6497548842793E-3</v>
      </c>
      <c r="R79">
        <v>1.66899558413707E-3</v>
      </c>
      <c r="S79">
        <v>5.2930530695573503E-6</v>
      </c>
      <c r="T79">
        <v>0</v>
      </c>
      <c r="U79">
        <v>0</v>
      </c>
      <c r="V79">
        <v>0</v>
      </c>
      <c r="W79">
        <v>1.6128070427284199E-3</v>
      </c>
      <c r="X79">
        <v>7.9626338235286499E-5</v>
      </c>
      <c r="Y79">
        <v>5.2582429609278296E-6</v>
      </c>
      <c r="Z79">
        <v>1.73328035546949E-3</v>
      </c>
      <c r="AA79">
        <v>7.4559767943401897E-2</v>
      </c>
      <c r="AB79">
        <v>1.6329960000428399E-6</v>
      </c>
      <c r="AC79">
        <v>0.1</v>
      </c>
      <c r="AD79">
        <v>100</v>
      </c>
      <c r="AE79">
        <v>10.957366310586</v>
      </c>
      <c r="AF79">
        <v>92.357064280818008</v>
      </c>
      <c r="AG79">
        <v>19.687491213897097</v>
      </c>
      <c r="AH79">
        <f t="shared" si="76"/>
        <v>1.0957366310586001</v>
      </c>
      <c r="AI79">
        <f t="shared" si="106"/>
        <v>1.9687491213897097</v>
      </c>
      <c r="AJ79">
        <f t="shared" si="107"/>
        <v>1.0957366310586001</v>
      </c>
      <c r="AK79">
        <f t="shared" si="108"/>
        <v>1.9687491213897097</v>
      </c>
      <c r="AL79">
        <f t="shared" si="77"/>
        <v>0.61448665321480989</v>
      </c>
      <c r="AM79">
        <f t="shared" si="109"/>
        <v>0.4812499778437902</v>
      </c>
      <c r="AN79">
        <f t="shared" si="110"/>
        <v>0.61448665321480989</v>
      </c>
      <c r="AO79" s="5">
        <f t="shared" si="78"/>
        <v>1.7770671970930099E-3</v>
      </c>
      <c r="AP79" s="5">
        <f t="shared" si="79"/>
        <v>5.2649488631162002E-8</v>
      </c>
      <c r="AQ79" s="5">
        <f t="shared" si="80"/>
        <v>3.3765279177869603E-2</v>
      </c>
      <c r="AR79">
        <f t="shared" si="81"/>
        <v>10</v>
      </c>
      <c r="AS79" s="5">
        <f t="shared" si="82"/>
        <v>0.154143585092054</v>
      </c>
      <c r="AT79" s="8">
        <f t="shared" si="83"/>
        <v>0.154143585092054</v>
      </c>
      <c r="AU79" s="5">
        <f t="shared" si="84"/>
        <v>3.4254130020456498E-2</v>
      </c>
      <c r="AV79" s="5">
        <f t="shared" si="85"/>
        <v>0.152366517894961</v>
      </c>
      <c r="AW79" s="8">
        <f t="shared" si="86"/>
        <v>0.15414353244256537</v>
      </c>
      <c r="AX79" s="5">
        <f t="shared" si="87"/>
        <v>4.888508425868951E-4</v>
      </c>
      <c r="AY79" s="5">
        <f t="shared" si="88"/>
        <v>0.14895412371782468</v>
      </c>
      <c r="AZ79">
        <f t="shared" si="89"/>
        <v>7.3540548388425116E-3</v>
      </c>
      <c r="BA79">
        <f t="shared" si="90"/>
        <v>4.8563588314657035E-4</v>
      </c>
      <c r="BB79" s="5">
        <f t="shared" si="91"/>
        <v>95.000000000001023</v>
      </c>
      <c r="BC79" s="5">
        <f t="shared" si="92"/>
        <v>0.15679381443981377</v>
      </c>
      <c r="BD79" s="5">
        <f t="shared" si="93"/>
        <v>0.30599075609921172</v>
      </c>
      <c r="BE79" s="16">
        <f t="shared" si="94"/>
        <v>0.31407326476277414</v>
      </c>
      <c r="BF79">
        <f t="shared" si="95"/>
        <v>3.4123941769526023E-3</v>
      </c>
      <c r="BG79">
        <f t="shared" si="96"/>
        <v>0.14678947762959313</v>
      </c>
      <c r="BH79">
        <f t="shared" si="97"/>
        <v>3.2149594403172515E-6</v>
      </c>
      <c r="BI79">
        <f t="shared" si="98"/>
        <v>0.30041338849141241</v>
      </c>
      <c r="BJ79">
        <f t="shared" si="99"/>
        <v>1.6683357328982973</v>
      </c>
      <c r="BK79">
        <f t="shared" si="100"/>
        <v>0.30041338849141241</v>
      </c>
      <c r="BL79">
        <f t="shared" si="111"/>
        <v>0.78166336633520261</v>
      </c>
      <c r="BM79">
        <f t="shared" si="112"/>
        <v>0.15361908842265881</v>
      </c>
      <c r="BN79">
        <f t="shared" si="113"/>
        <v>0.30041338849141241</v>
      </c>
      <c r="BO79" s="5">
        <f t="shared" si="101"/>
        <v>0.78166336633520261</v>
      </c>
      <c r="BP79" s="5">
        <f t="shared" si="102"/>
        <v>0.31407326476277414</v>
      </c>
      <c r="BQ79" s="4">
        <f t="shared" si="114"/>
        <v>2.1914732621172002</v>
      </c>
      <c r="BR79" s="5">
        <f t="shared" si="115"/>
        <v>0.13735190200809377</v>
      </c>
      <c r="BS79">
        <f t="shared" si="104"/>
        <v>6.2357868447980298</v>
      </c>
      <c r="BT79">
        <f t="shared" si="105"/>
        <v>5.9353734563066176</v>
      </c>
      <c r="BU79">
        <f t="shared" si="116"/>
        <v>5.4541234784628276</v>
      </c>
      <c r="BV79">
        <f t="shared" si="117"/>
        <v>1.6683357328982973</v>
      </c>
      <c r="BW79">
        <f t="shared" si="118"/>
        <v>0.30041338849141241</v>
      </c>
      <c r="BX79" s="4">
        <f t="shared" si="119"/>
        <v>3.9374982427794194</v>
      </c>
      <c r="BY79">
        <f t="shared" si="120"/>
        <v>0.13955897293422745</v>
      </c>
      <c r="BZ79">
        <f t="shared" si="121"/>
        <v>23.535100891538832</v>
      </c>
      <c r="CA79">
        <f t="shared" si="122"/>
        <v>21.866765158640536</v>
      </c>
    </row>
    <row r="80" spans="1:79" x14ac:dyDescent="0.25">
      <c r="A80">
        <v>10</v>
      </c>
      <c r="B80">
        <v>1.54143585092054E-3</v>
      </c>
      <c r="C80">
        <v>1.54143585092054E-3</v>
      </c>
      <c r="D80">
        <v>3.4254130020456501E-4</v>
      </c>
      <c r="E80">
        <v>0</v>
      </c>
      <c r="F80">
        <v>0</v>
      </c>
      <c r="G80">
        <v>0</v>
      </c>
      <c r="H80" s="5">
        <v>1.7770671970930099E-5</v>
      </c>
      <c r="I80" s="5">
        <v>5.2649488631162003E-10</v>
      </c>
      <c r="J80">
        <v>3.3765279177869602E-4</v>
      </c>
      <c r="K80">
        <v>0.139053960209192</v>
      </c>
      <c r="L80">
        <v>0.14067571356050099</v>
      </c>
      <c r="M80">
        <v>4.4613899794023002E-4</v>
      </c>
      <c r="N80" t="s">
        <v>52</v>
      </c>
      <c r="O80">
        <v>0.1</v>
      </c>
      <c r="P80">
        <v>12</v>
      </c>
      <c r="Q80">
        <v>1.6497548842793E-3</v>
      </c>
      <c r="R80">
        <v>1.66899558413707E-3</v>
      </c>
      <c r="S80">
        <v>5.2930530695573503E-6</v>
      </c>
      <c r="T80">
        <v>0</v>
      </c>
      <c r="U80">
        <v>0</v>
      </c>
      <c r="V80">
        <v>0</v>
      </c>
      <c r="W80">
        <v>1.6128079179820701E-3</v>
      </c>
      <c r="X80">
        <v>7.9626383510946294E-5</v>
      </c>
      <c r="Y80">
        <v>5.2582437512666399E-6</v>
      </c>
      <c r="Z80">
        <v>1.7332507504425E-3</v>
      </c>
      <c r="AA80">
        <v>7.4560258551583894E-2</v>
      </c>
      <c r="AB80">
        <v>1.6329697157021899E-6</v>
      </c>
      <c r="AC80">
        <v>0.1</v>
      </c>
      <c r="AD80">
        <v>100</v>
      </c>
      <c r="AE80">
        <v>10.957366310586</v>
      </c>
      <c r="AF80">
        <v>92.357064280818008</v>
      </c>
      <c r="AG80">
        <v>19.687361106780902</v>
      </c>
      <c r="AH80">
        <f t="shared" si="76"/>
        <v>1.0957366310586001</v>
      </c>
      <c r="AI80">
        <f t="shared" si="106"/>
        <v>1.9687361106780903</v>
      </c>
      <c r="AJ80">
        <f t="shared" si="107"/>
        <v>1.0957366310586001</v>
      </c>
      <c r="AK80">
        <f t="shared" si="108"/>
        <v>1.9687361106780903</v>
      </c>
      <c r="AL80">
        <f t="shared" si="77"/>
        <v>0.61448665321480989</v>
      </c>
      <c r="AM80">
        <f t="shared" si="109"/>
        <v>0.4812499778437902</v>
      </c>
      <c r="AN80">
        <f t="shared" si="110"/>
        <v>0.61448665321480989</v>
      </c>
      <c r="AO80" s="5">
        <f t="shared" si="78"/>
        <v>1.7770671970930099E-3</v>
      </c>
      <c r="AP80" s="5">
        <f t="shared" si="79"/>
        <v>5.2649488631162002E-8</v>
      </c>
      <c r="AQ80" s="5">
        <f t="shared" si="80"/>
        <v>3.3765279177869603E-2</v>
      </c>
      <c r="AR80">
        <f t="shared" si="81"/>
        <v>10</v>
      </c>
      <c r="AS80" s="5">
        <f t="shared" si="82"/>
        <v>0.154143585092054</v>
      </c>
      <c r="AT80" s="8">
        <f t="shared" si="83"/>
        <v>0.154143585092054</v>
      </c>
      <c r="AU80" s="5">
        <f t="shared" si="84"/>
        <v>3.4254130020456498E-2</v>
      </c>
      <c r="AV80" s="5">
        <f t="shared" si="85"/>
        <v>0.152366517894961</v>
      </c>
      <c r="AW80" s="8">
        <f t="shared" si="86"/>
        <v>0.15414353244256537</v>
      </c>
      <c r="AX80" s="5">
        <f t="shared" si="87"/>
        <v>4.888508425868951E-4</v>
      </c>
      <c r="AY80" s="5">
        <f t="shared" si="88"/>
        <v>0.1489542045536823</v>
      </c>
      <c r="AZ80">
        <f t="shared" si="89"/>
        <v>7.3540590203695338E-3</v>
      </c>
      <c r="BA80">
        <f t="shared" si="90"/>
        <v>4.8563595613994266E-4</v>
      </c>
      <c r="BB80" s="5">
        <f t="shared" si="91"/>
        <v>95.000000000000071</v>
      </c>
      <c r="BC80" s="5">
        <f t="shared" si="92"/>
        <v>0.15679389953019177</v>
      </c>
      <c r="BD80" s="5">
        <f t="shared" si="93"/>
        <v>0.305990922061944</v>
      </c>
      <c r="BE80" s="16">
        <f t="shared" si="94"/>
        <v>0.31407343501652352</v>
      </c>
      <c r="BF80">
        <f t="shared" si="95"/>
        <v>3.4123133412560487E-3</v>
      </c>
      <c r="BG80">
        <f t="shared" si="96"/>
        <v>0.14678947343199811</v>
      </c>
      <c r="BH80">
        <f t="shared" si="97"/>
        <v>3.2148864469466361E-6</v>
      </c>
      <c r="BI80">
        <f t="shared" si="98"/>
        <v>0.30041321820584915</v>
      </c>
      <c r="BJ80">
        <f t="shared" si="99"/>
        <v>1.6683228924722411</v>
      </c>
      <c r="BK80">
        <f t="shared" si="100"/>
        <v>0.30041321820584915</v>
      </c>
      <c r="BL80">
        <f t="shared" si="111"/>
        <v>0.78166319604963941</v>
      </c>
      <c r="BM80">
        <f t="shared" si="112"/>
        <v>0.15361892244418063</v>
      </c>
      <c r="BN80">
        <f t="shared" si="113"/>
        <v>0.30041321820584915</v>
      </c>
      <c r="BO80" s="5">
        <f t="shared" si="101"/>
        <v>0.78166319604963941</v>
      </c>
      <c r="BP80" s="5">
        <f t="shared" si="102"/>
        <v>0.31407343501652352</v>
      </c>
      <c r="BQ80" s="4">
        <f t="shared" si="114"/>
        <v>2.1914732621172002</v>
      </c>
      <c r="BR80" s="5">
        <f t="shared" si="115"/>
        <v>0.13735196713104419</v>
      </c>
      <c r="BS80">
        <f t="shared" si="104"/>
        <v>6.2357825297454017</v>
      </c>
      <c r="BT80">
        <f t="shared" si="105"/>
        <v>5.9353693115395529</v>
      </c>
      <c r="BU80">
        <f t="shared" si="116"/>
        <v>5.454119333695763</v>
      </c>
      <c r="BV80">
        <f t="shared" si="117"/>
        <v>1.6683228924722411</v>
      </c>
      <c r="BW80">
        <f t="shared" si="118"/>
        <v>0.30041321820584915</v>
      </c>
      <c r="BX80" s="4">
        <f t="shared" si="119"/>
        <v>3.9374722213561806</v>
      </c>
      <c r="BY80">
        <f t="shared" si="120"/>
        <v>0.1395588340556923</v>
      </c>
      <c r="BZ80">
        <f t="shared" si="121"/>
        <v>23.534787639242641</v>
      </c>
      <c r="CA80">
        <f t="shared" si="122"/>
        <v>21.866464746770401</v>
      </c>
    </row>
    <row r="81" spans="1:79" x14ac:dyDescent="0.25">
      <c r="A81">
        <v>10</v>
      </c>
      <c r="B81">
        <v>1.54143585092054E-3</v>
      </c>
      <c r="C81">
        <v>1.54143585092054E-3</v>
      </c>
      <c r="D81">
        <v>3.4254130020456501E-4</v>
      </c>
      <c r="E81">
        <v>0</v>
      </c>
      <c r="F81">
        <v>0</v>
      </c>
      <c r="G81">
        <v>0</v>
      </c>
      <c r="H81" s="5">
        <v>1.7770671970930099E-5</v>
      </c>
      <c r="I81" s="5">
        <v>5.2649488631162003E-10</v>
      </c>
      <c r="J81">
        <v>3.3765279177869602E-4</v>
      </c>
      <c r="K81">
        <v>0.139053960209192</v>
      </c>
      <c r="L81">
        <v>0.14067571356050099</v>
      </c>
      <c r="M81">
        <v>4.4613899794023002E-4</v>
      </c>
      <c r="N81" t="s">
        <v>52</v>
      </c>
      <c r="O81">
        <v>0.1</v>
      </c>
      <c r="P81">
        <v>13</v>
      </c>
      <c r="Q81">
        <v>1.6497548842793E-3</v>
      </c>
      <c r="R81">
        <v>1.66899558413707E-3</v>
      </c>
      <c r="S81">
        <v>5.2930530695573503E-6</v>
      </c>
      <c r="T81">
        <v>0</v>
      </c>
      <c r="U81">
        <v>0</v>
      </c>
      <c r="V81">
        <v>0</v>
      </c>
      <c r="W81">
        <v>1.6128081639407901E-3</v>
      </c>
      <c r="X81">
        <v>7.96263962340472E-5</v>
      </c>
      <c r="Y81">
        <v>5.2582439733631299E-6</v>
      </c>
      <c r="Z81">
        <v>1.7332424309303299E-3</v>
      </c>
      <c r="AA81">
        <v>7.4560396420763494E-2</v>
      </c>
      <c r="AB81">
        <v>1.63296232935881E-6</v>
      </c>
      <c r="AC81">
        <v>0.1</v>
      </c>
      <c r="AD81">
        <v>100</v>
      </c>
      <c r="AE81">
        <v>10.957366310586</v>
      </c>
      <c r="AF81">
        <v>92.357064280818008</v>
      </c>
      <c r="AG81">
        <v>19.6873245448886</v>
      </c>
      <c r="AH81">
        <f t="shared" si="76"/>
        <v>1.0957366310586001</v>
      </c>
      <c r="AI81">
        <f t="shared" si="106"/>
        <v>1.96873245448886</v>
      </c>
      <c r="AJ81">
        <f t="shared" si="107"/>
        <v>1.0957366310586001</v>
      </c>
      <c r="AK81">
        <f t="shared" si="108"/>
        <v>1.96873245448886</v>
      </c>
      <c r="AL81">
        <f t="shared" si="77"/>
        <v>0.61448665321480989</v>
      </c>
      <c r="AM81">
        <f t="shared" si="109"/>
        <v>0.4812499778437902</v>
      </c>
      <c r="AN81">
        <f t="shared" si="110"/>
        <v>0.61448665321480989</v>
      </c>
      <c r="AO81" s="5">
        <f t="shared" si="78"/>
        <v>1.7770671970930099E-3</v>
      </c>
      <c r="AP81" s="5">
        <f t="shared" si="79"/>
        <v>5.2649488631162002E-8</v>
      </c>
      <c r="AQ81" s="5">
        <f t="shared" si="80"/>
        <v>3.3765279177869603E-2</v>
      </c>
      <c r="AR81">
        <f t="shared" si="81"/>
        <v>10</v>
      </c>
      <c r="AS81" s="5">
        <f t="shared" si="82"/>
        <v>0.154143585092054</v>
      </c>
      <c r="AT81" s="8">
        <f t="shared" si="83"/>
        <v>0.154143585092054</v>
      </c>
      <c r="AU81" s="5">
        <f t="shared" si="84"/>
        <v>3.4254130020456498E-2</v>
      </c>
      <c r="AV81" s="5">
        <f t="shared" si="85"/>
        <v>0.152366517894961</v>
      </c>
      <c r="AW81" s="8">
        <f t="shared" si="86"/>
        <v>0.15414353244256537</v>
      </c>
      <c r="AX81" s="5">
        <f t="shared" si="87"/>
        <v>4.888508425868951E-4</v>
      </c>
      <c r="AY81" s="5">
        <f t="shared" si="88"/>
        <v>0.14895422726970761</v>
      </c>
      <c r="AZ81">
        <f t="shared" si="89"/>
        <v>7.3540601954377822E-3</v>
      </c>
      <c r="BA81">
        <f t="shared" si="90"/>
        <v>4.8563597665212251E-4</v>
      </c>
      <c r="BB81" s="5">
        <f t="shared" si="91"/>
        <v>94.999999999999986</v>
      </c>
      <c r="BC81" s="5">
        <f t="shared" si="92"/>
        <v>0.15679392344179752</v>
      </c>
      <c r="BD81" s="5">
        <f t="shared" si="93"/>
        <v>0.30599096869983117</v>
      </c>
      <c r="BE81" s="16">
        <f t="shared" si="94"/>
        <v>0.31407348286024711</v>
      </c>
      <c r="BF81">
        <f t="shared" si="95"/>
        <v>3.4122906252697068E-3</v>
      </c>
      <c r="BG81">
        <f t="shared" si="96"/>
        <v>0.14678947225311212</v>
      </c>
      <c r="BH81">
        <f t="shared" si="97"/>
        <v>3.2148659347664164E-6</v>
      </c>
      <c r="BI81">
        <f t="shared" si="98"/>
        <v>0.30041317035456794</v>
      </c>
      <c r="BJ81">
        <f t="shared" si="99"/>
        <v>1.668319284134292</v>
      </c>
      <c r="BK81">
        <f t="shared" si="100"/>
        <v>0.30041317035456794</v>
      </c>
      <c r="BL81">
        <f t="shared" si="111"/>
        <v>0.78166314819835814</v>
      </c>
      <c r="BM81">
        <f t="shared" si="112"/>
        <v>0.15361887580255368</v>
      </c>
      <c r="BN81">
        <f t="shared" si="113"/>
        <v>0.30041317035456794</v>
      </c>
      <c r="BO81" s="5">
        <f t="shared" si="101"/>
        <v>0.78166314819835814</v>
      </c>
      <c r="BP81" s="5">
        <f t="shared" si="102"/>
        <v>0.31407348286024711</v>
      </c>
      <c r="BQ81" s="4">
        <f t="shared" si="114"/>
        <v>2.1914732621172002</v>
      </c>
      <c r="BR81" s="5">
        <f t="shared" si="115"/>
        <v>0.13735198543151739</v>
      </c>
      <c r="BS81">
        <f t="shared" si="104"/>
        <v>6.2357813171661123</v>
      </c>
      <c r="BT81">
        <f t="shared" si="105"/>
        <v>5.9353681468115447</v>
      </c>
      <c r="BU81">
        <f t="shared" si="116"/>
        <v>5.4541181689677547</v>
      </c>
      <c r="BV81">
        <f t="shared" si="117"/>
        <v>1.668319284134292</v>
      </c>
      <c r="BW81">
        <f t="shared" si="118"/>
        <v>0.30041317035456794</v>
      </c>
      <c r="BX81" s="4">
        <f t="shared" si="119"/>
        <v>3.9374649089777201</v>
      </c>
      <c r="BY81">
        <f t="shared" si="120"/>
        <v>0.13955879502935434</v>
      </c>
      <c r="BZ81">
        <f t="shared" si="121"/>
        <v>23.534699611256723</v>
      </c>
      <c r="CA81">
        <f t="shared" si="122"/>
        <v>21.866380327122432</v>
      </c>
    </row>
    <row r="82" spans="1:79" x14ac:dyDescent="0.25">
      <c r="A82">
        <v>11</v>
      </c>
      <c r="B82">
        <v>1.54143585092054E-3</v>
      </c>
      <c r="C82">
        <v>1.54143585092054E-3</v>
      </c>
      <c r="D82">
        <v>3.4254130020456501E-4</v>
      </c>
      <c r="E82">
        <v>0</v>
      </c>
      <c r="F82">
        <v>0</v>
      </c>
      <c r="G82">
        <v>0</v>
      </c>
      <c r="H82" s="5">
        <v>1.7771367359861701E-5</v>
      </c>
      <c r="I82" s="5">
        <v>1.8081057367328801E-10</v>
      </c>
      <c r="J82">
        <v>3.3765941525589702E-4</v>
      </c>
      <c r="K82">
        <v>0.139102253285185</v>
      </c>
      <c r="L82">
        <v>0.14072466572308701</v>
      </c>
      <c r="M82">
        <v>4.4568945720355099E-4</v>
      </c>
      <c r="N82" t="s">
        <v>52</v>
      </c>
      <c r="O82">
        <v>0.1</v>
      </c>
      <c r="P82">
        <v>4</v>
      </c>
      <c r="Q82">
        <v>1.6497569194096201E-3</v>
      </c>
      <c r="R82">
        <v>1.6689987798565299E-3</v>
      </c>
      <c r="S82">
        <v>5.28589040482341E-6</v>
      </c>
      <c r="T82">
        <v>0</v>
      </c>
      <c r="U82">
        <v>0</v>
      </c>
      <c r="V82">
        <v>0</v>
      </c>
      <c r="W82">
        <v>1.6048442786411501E-3</v>
      </c>
      <c r="X82">
        <v>7.9221543426505204E-5</v>
      </c>
      <c r="Y82">
        <v>5.2439449251215197E-6</v>
      </c>
      <c r="Z82">
        <v>1.9874086219128402E-3</v>
      </c>
      <c r="AA82">
        <v>7.0348501715363707E-2</v>
      </c>
      <c r="AB82">
        <v>1.8561101411739801E-6</v>
      </c>
      <c r="AC82">
        <v>0.1</v>
      </c>
      <c r="AD82">
        <v>100</v>
      </c>
      <c r="AE82">
        <v>10.953557168032999</v>
      </c>
      <c r="AF82">
        <v>92.356908198738694</v>
      </c>
      <c r="AG82">
        <v>20.8713628170402</v>
      </c>
      <c r="AH82">
        <f t="shared" si="76"/>
        <v>1.0953557168032999</v>
      </c>
      <c r="AI82">
        <f t="shared" si="106"/>
        <v>2.0871362817040202</v>
      </c>
      <c r="AJ82">
        <f t="shared" si="107"/>
        <v>1.0953557168032999</v>
      </c>
      <c r="AK82">
        <f t="shared" si="108"/>
        <v>2.0871362817040202</v>
      </c>
      <c r="AL82">
        <f t="shared" si="77"/>
        <v>0.61448459638692998</v>
      </c>
      <c r="AM82">
        <f t="shared" si="109"/>
        <v>0.48087112041636992</v>
      </c>
      <c r="AN82">
        <f t="shared" si="110"/>
        <v>0.61448459638692998</v>
      </c>
      <c r="AO82" s="5">
        <f t="shared" si="78"/>
        <v>1.7771367359861701E-3</v>
      </c>
      <c r="AP82" s="5">
        <f t="shared" si="79"/>
        <v>1.8081057367328801E-8</v>
      </c>
      <c r="AQ82" s="5">
        <f t="shared" si="80"/>
        <v>3.3765941525589704E-2</v>
      </c>
      <c r="AR82">
        <f t="shared" si="81"/>
        <v>10</v>
      </c>
      <c r="AS82" s="5">
        <f t="shared" si="82"/>
        <v>0.154143585092054</v>
      </c>
      <c r="AT82" s="8">
        <f t="shared" si="83"/>
        <v>0.154143585092054</v>
      </c>
      <c r="AU82" s="5">
        <f t="shared" si="84"/>
        <v>3.4254130020456498E-2</v>
      </c>
      <c r="AV82" s="5">
        <f t="shared" si="85"/>
        <v>0.15236644835606783</v>
      </c>
      <c r="AW82" s="8">
        <f t="shared" si="86"/>
        <v>0.15414356701099663</v>
      </c>
      <c r="AX82" s="5">
        <f t="shared" si="87"/>
        <v>4.8818849486679389E-4</v>
      </c>
      <c r="AY82" s="5">
        <f t="shared" si="88"/>
        <v>0.14821845571573172</v>
      </c>
      <c r="AZ82">
        <f t="shared" si="89"/>
        <v>7.3166568136041315E-3</v>
      </c>
      <c r="BA82">
        <f t="shared" si="90"/>
        <v>4.8431454004868986E-4</v>
      </c>
      <c r="BB82" s="5">
        <f t="shared" si="91"/>
        <v>94.99999999988232</v>
      </c>
      <c r="BC82" s="5">
        <f t="shared" si="92"/>
        <v>0.15601942706938454</v>
      </c>
      <c r="BD82" s="5">
        <f t="shared" si="93"/>
        <v>0.30448004005514057</v>
      </c>
      <c r="BE82" s="16">
        <f t="shared" si="94"/>
        <v>0.3125231686788178</v>
      </c>
      <c r="BF82">
        <f t="shared" si="95"/>
        <v>4.1479926413656764E-3</v>
      </c>
      <c r="BG82">
        <f t="shared" si="96"/>
        <v>0.14682691029365311</v>
      </c>
      <c r="BH82">
        <f t="shared" si="97"/>
        <v>3.8739548184829848E-6</v>
      </c>
      <c r="BI82">
        <f t="shared" si="98"/>
        <v>0.30196142773449303</v>
      </c>
      <c r="BJ82">
        <f t="shared" si="99"/>
        <v>1.7851748539695271</v>
      </c>
      <c r="BK82">
        <f t="shared" si="100"/>
        <v>0.30196142773449303</v>
      </c>
      <c r="BL82">
        <f t="shared" si="111"/>
        <v>0.78283254815086289</v>
      </c>
      <c r="BM82">
        <f t="shared" si="112"/>
        <v>0.15512870650861219</v>
      </c>
      <c r="BN82">
        <f t="shared" si="113"/>
        <v>0.30196142773449303</v>
      </c>
      <c r="BO82" s="5">
        <f t="shared" si="101"/>
        <v>0.78283254815086289</v>
      </c>
      <c r="BP82" s="5">
        <f t="shared" si="102"/>
        <v>0.3125231686788178</v>
      </c>
      <c r="BQ82" s="4">
        <f t="shared" si="114"/>
        <v>2.1907114336065998</v>
      </c>
      <c r="BR82" s="5">
        <f t="shared" si="115"/>
        <v>0.13675267956638507</v>
      </c>
      <c r="BS82">
        <f t="shared" si="104"/>
        <v>6.2702983929502318</v>
      </c>
      <c r="BT82">
        <f t="shared" si="105"/>
        <v>5.9683369652157392</v>
      </c>
      <c r="BU82">
        <f t="shared" si="116"/>
        <v>5.4874658447993694</v>
      </c>
      <c r="BV82">
        <f t="shared" si="117"/>
        <v>1.7851748539695271</v>
      </c>
      <c r="BW82">
        <f t="shared" si="118"/>
        <v>0.30196142773449303</v>
      </c>
      <c r="BX82" s="4">
        <f t="shared" si="119"/>
        <v>4.1742725634080404</v>
      </c>
      <c r="BY82">
        <f t="shared" si="120"/>
        <v>0.14079573425940212</v>
      </c>
      <c r="BZ82">
        <f t="shared" si="121"/>
        <v>26.463182471429644</v>
      </c>
      <c r="CA82">
        <f t="shared" si="122"/>
        <v>24.678007617460118</v>
      </c>
    </row>
    <row r="83" spans="1:79" x14ac:dyDescent="0.25">
      <c r="A83">
        <v>11</v>
      </c>
      <c r="B83">
        <v>1.54143585092054E-3</v>
      </c>
      <c r="C83">
        <v>1.54143585092054E-3</v>
      </c>
      <c r="D83">
        <v>3.4254130020456501E-4</v>
      </c>
      <c r="E83">
        <v>0</v>
      </c>
      <c r="F83">
        <v>0</v>
      </c>
      <c r="G83">
        <v>0</v>
      </c>
      <c r="H83" s="5">
        <v>1.7771367359861701E-5</v>
      </c>
      <c r="I83" s="5">
        <v>1.8081057367328801E-10</v>
      </c>
      <c r="J83">
        <v>3.3765941525589702E-4</v>
      </c>
      <c r="K83">
        <v>0.139102253285185</v>
      </c>
      <c r="L83">
        <v>0.14072466572308701</v>
      </c>
      <c r="M83">
        <v>4.4568945720355099E-4</v>
      </c>
      <c r="N83" t="s">
        <v>52</v>
      </c>
      <c r="O83">
        <v>0.1</v>
      </c>
      <c r="P83">
        <v>5</v>
      </c>
      <c r="Q83">
        <v>1.6497569194096201E-3</v>
      </c>
      <c r="R83">
        <v>1.6689987798565299E-3</v>
      </c>
      <c r="S83">
        <v>5.28589040482341E-6</v>
      </c>
      <c r="T83">
        <v>0</v>
      </c>
      <c r="U83">
        <v>0</v>
      </c>
      <c r="V83">
        <v>0</v>
      </c>
      <c r="W83">
        <v>1.6104460290619601E-3</v>
      </c>
      <c r="X83">
        <v>7.9511320807382698E-5</v>
      </c>
      <c r="Y83">
        <v>5.2489965417355999E-6</v>
      </c>
      <c r="Z83">
        <v>1.8118142403982199E-3</v>
      </c>
      <c r="AA83">
        <v>7.3258478446211001E-2</v>
      </c>
      <c r="AB83">
        <v>1.7004149724062101E-6</v>
      </c>
      <c r="AC83">
        <v>0.1</v>
      </c>
      <c r="AD83">
        <v>100</v>
      </c>
      <c r="AE83">
        <v>10.953557168032999</v>
      </c>
      <c r="AF83">
        <v>92.356908198738694</v>
      </c>
      <c r="AG83">
        <v>20.038656337397899</v>
      </c>
      <c r="AH83">
        <f t="shared" si="76"/>
        <v>1.0953557168032999</v>
      </c>
      <c r="AI83">
        <f t="shared" si="106"/>
        <v>2.0038656337397902</v>
      </c>
      <c r="AJ83">
        <f t="shared" si="107"/>
        <v>1.0953557168032999</v>
      </c>
      <c r="AK83">
        <f t="shared" si="108"/>
        <v>2.0038656337397902</v>
      </c>
      <c r="AL83">
        <f t="shared" si="77"/>
        <v>0.61448459638692998</v>
      </c>
      <c r="AM83">
        <f t="shared" si="109"/>
        <v>0.48087112041636992</v>
      </c>
      <c r="AN83">
        <f t="shared" si="110"/>
        <v>0.61448459638692998</v>
      </c>
      <c r="AO83" s="5">
        <f t="shared" si="78"/>
        <v>1.7771367359861701E-3</v>
      </c>
      <c r="AP83" s="5">
        <f t="shared" si="79"/>
        <v>1.8081057367328801E-8</v>
      </c>
      <c r="AQ83" s="5">
        <f t="shared" si="80"/>
        <v>3.3765941525589704E-2</v>
      </c>
      <c r="AR83">
        <f t="shared" si="81"/>
        <v>10</v>
      </c>
      <c r="AS83" s="5">
        <f t="shared" si="82"/>
        <v>0.154143585092054</v>
      </c>
      <c r="AT83" s="8">
        <f t="shared" si="83"/>
        <v>0.154143585092054</v>
      </c>
      <c r="AU83" s="5">
        <f t="shared" si="84"/>
        <v>3.4254130020456498E-2</v>
      </c>
      <c r="AV83" s="5">
        <f t="shared" si="85"/>
        <v>0.15236644835606783</v>
      </c>
      <c r="AW83" s="8">
        <f t="shared" si="86"/>
        <v>0.15414356701099663</v>
      </c>
      <c r="AX83" s="5">
        <f t="shared" si="87"/>
        <v>4.8818849486679389E-4</v>
      </c>
      <c r="AY83" s="5">
        <f t="shared" si="88"/>
        <v>0.14873581606509872</v>
      </c>
      <c r="AZ83">
        <f t="shared" si="89"/>
        <v>7.3434197565679059E-3</v>
      </c>
      <c r="BA83">
        <f t="shared" si="90"/>
        <v>4.8478109174057167E-4</v>
      </c>
      <c r="BB83" s="5">
        <f t="shared" si="91"/>
        <v>94.999999998314991</v>
      </c>
      <c r="BC83" s="5">
        <f t="shared" si="92"/>
        <v>0.15656401691340721</v>
      </c>
      <c r="BD83" s="5">
        <f t="shared" si="93"/>
        <v>0.30554222352437621</v>
      </c>
      <c r="BE83" s="16">
        <f t="shared" si="94"/>
        <v>0.31361281491855497</v>
      </c>
      <c r="BF83">
        <f t="shared" si="95"/>
        <v>3.6306322910543555E-3</v>
      </c>
      <c r="BG83">
        <f t="shared" si="96"/>
        <v>0.14680014733842936</v>
      </c>
      <c r="BH83">
        <f t="shared" si="97"/>
        <v>3.4074031263013979E-6</v>
      </c>
      <c r="BI83">
        <f t="shared" si="98"/>
        <v>0.30087178146834631</v>
      </c>
      <c r="BJ83">
        <f t="shared" si="99"/>
        <v>1.7029938522714438</v>
      </c>
      <c r="BK83">
        <f t="shared" si="100"/>
        <v>0.30087178146834631</v>
      </c>
      <c r="BL83">
        <f t="shared" si="111"/>
        <v>0.78174290188471618</v>
      </c>
      <c r="BM83">
        <f t="shared" si="112"/>
        <v>0.15406652302522753</v>
      </c>
      <c r="BN83">
        <f t="shared" si="113"/>
        <v>0.30087178146834631</v>
      </c>
      <c r="BO83" s="5">
        <f t="shared" si="101"/>
        <v>0.78174290188471618</v>
      </c>
      <c r="BP83" s="5">
        <f t="shared" si="102"/>
        <v>0.31361281491855497</v>
      </c>
      <c r="BQ83" s="4">
        <f t="shared" si="114"/>
        <v>2.1907114336065998</v>
      </c>
      <c r="BR83" s="5">
        <f t="shared" si="115"/>
        <v>0.13716977339740197</v>
      </c>
      <c r="BS83">
        <f t="shared" si="104"/>
        <v>6.2425309559200839</v>
      </c>
      <c r="BT83">
        <f t="shared" si="105"/>
        <v>5.941659174451738</v>
      </c>
      <c r="BU83">
        <f t="shared" si="116"/>
        <v>5.4607880540353682</v>
      </c>
      <c r="BV83">
        <f t="shared" si="117"/>
        <v>1.7029938522714438</v>
      </c>
      <c r="BW83">
        <f t="shared" si="118"/>
        <v>0.30087178146834631</v>
      </c>
      <c r="BX83" s="4">
        <f t="shared" si="119"/>
        <v>4.0077312674795804</v>
      </c>
      <c r="BY83">
        <f t="shared" si="120"/>
        <v>0.13993088158671407</v>
      </c>
      <c r="BZ83">
        <f t="shared" si="121"/>
        <v>24.387546311013125</v>
      </c>
      <c r="CA83">
        <f t="shared" si="122"/>
        <v>22.684552458741681</v>
      </c>
    </row>
    <row r="84" spans="1:79" x14ac:dyDescent="0.25">
      <c r="A84">
        <v>11</v>
      </c>
      <c r="B84">
        <v>1.54143585092054E-3</v>
      </c>
      <c r="C84">
        <v>1.54143585092054E-3</v>
      </c>
      <c r="D84">
        <v>3.4254130020456501E-4</v>
      </c>
      <c r="E84">
        <v>0</v>
      </c>
      <c r="F84">
        <v>0</v>
      </c>
      <c r="G84">
        <v>0</v>
      </c>
      <c r="H84" s="5">
        <v>1.7771367359861701E-5</v>
      </c>
      <c r="I84" s="5">
        <v>1.8081057367328801E-10</v>
      </c>
      <c r="J84">
        <v>3.3765941525589702E-4</v>
      </c>
      <c r="K84">
        <v>0.139102253285185</v>
      </c>
      <c r="L84">
        <v>0.14072466572308701</v>
      </c>
      <c r="M84">
        <v>4.4568945720355099E-4</v>
      </c>
      <c r="N84" t="s">
        <v>52</v>
      </c>
      <c r="O84">
        <v>0.1</v>
      </c>
      <c r="P84">
        <v>6</v>
      </c>
      <c r="Q84">
        <v>1.6497569194096201E-3</v>
      </c>
      <c r="R84">
        <v>1.6689987798565299E-3</v>
      </c>
      <c r="S84">
        <v>5.28589040482341E-6</v>
      </c>
      <c r="T84">
        <v>0</v>
      </c>
      <c r="U84">
        <v>0</v>
      </c>
      <c r="V84">
        <v>0</v>
      </c>
      <c r="W84">
        <v>1.61212756517482E-3</v>
      </c>
      <c r="X84">
        <v>7.9598306534484298E-5</v>
      </c>
      <c r="Y84">
        <v>5.2505128878875599E-6</v>
      </c>
      <c r="Z84">
        <v>1.7562199861538999E-3</v>
      </c>
      <c r="AA84">
        <v>7.4179770926534203E-2</v>
      </c>
      <c r="AB84">
        <v>1.6511232671055801E-6</v>
      </c>
      <c r="AC84">
        <v>0.1</v>
      </c>
      <c r="AD84">
        <v>100</v>
      </c>
      <c r="AE84">
        <v>10.953557168032999</v>
      </c>
      <c r="AF84">
        <v>92.356908198738694</v>
      </c>
      <c r="AG84">
        <v>19.788698694018699</v>
      </c>
      <c r="AH84">
        <f t="shared" si="76"/>
        <v>1.0953557168032999</v>
      </c>
      <c r="AI84">
        <f t="shared" si="106"/>
        <v>1.97886986940187</v>
      </c>
      <c r="AJ84">
        <f t="shared" si="107"/>
        <v>1.0953557168032999</v>
      </c>
      <c r="AK84">
        <f t="shared" si="108"/>
        <v>1.97886986940187</v>
      </c>
      <c r="AL84">
        <f t="shared" si="77"/>
        <v>0.61448459638692998</v>
      </c>
      <c r="AM84">
        <f t="shared" si="109"/>
        <v>0.48087112041636992</v>
      </c>
      <c r="AN84">
        <f t="shared" si="110"/>
        <v>0.61448459638692998</v>
      </c>
      <c r="AO84" s="5">
        <f t="shared" si="78"/>
        <v>1.7771367359861701E-3</v>
      </c>
      <c r="AP84" s="5">
        <f t="shared" si="79"/>
        <v>1.8081057367328801E-8</v>
      </c>
      <c r="AQ84" s="5">
        <f t="shared" si="80"/>
        <v>3.3765941525589704E-2</v>
      </c>
      <c r="AR84">
        <f t="shared" si="81"/>
        <v>10</v>
      </c>
      <c r="AS84" s="5">
        <f t="shared" si="82"/>
        <v>0.154143585092054</v>
      </c>
      <c r="AT84" s="8">
        <f t="shared" si="83"/>
        <v>0.154143585092054</v>
      </c>
      <c r="AU84" s="5">
        <f t="shared" si="84"/>
        <v>3.4254130020456498E-2</v>
      </c>
      <c r="AV84" s="5">
        <f t="shared" si="85"/>
        <v>0.15236644835606783</v>
      </c>
      <c r="AW84" s="8">
        <f t="shared" si="86"/>
        <v>0.15414356701099663</v>
      </c>
      <c r="AX84" s="5">
        <f t="shared" si="87"/>
        <v>4.8818849486679389E-4</v>
      </c>
      <c r="AY84" s="5">
        <f t="shared" si="88"/>
        <v>0.148891117541507</v>
      </c>
      <c r="AZ84">
        <f t="shared" si="89"/>
        <v>7.3514534893804285E-3</v>
      </c>
      <c r="BA84">
        <f t="shared" si="90"/>
        <v>4.8492113678292578E-4</v>
      </c>
      <c r="BB84" s="5">
        <f t="shared" si="91"/>
        <v>94.999999988655574</v>
      </c>
      <c r="BC84" s="5">
        <f t="shared" si="92"/>
        <v>0.15672749216767035</v>
      </c>
      <c r="BD84" s="5">
        <f t="shared" si="93"/>
        <v>0.30586107027756881</v>
      </c>
      <c r="BE84" s="16">
        <f t="shared" si="94"/>
        <v>0.31393990547212364</v>
      </c>
      <c r="BF84">
        <f t="shared" si="95"/>
        <v>3.4753308146413218E-3</v>
      </c>
      <c r="BG84">
        <f t="shared" si="96"/>
        <v>0.14679211360565136</v>
      </c>
      <c r="BH84">
        <f t="shared" si="97"/>
        <v>3.2673580839436082E-6</v>
      </c>
      <c r="BI84">
        <f t="shared" si="98"/>
        <v>0.30054469091483721</v>
      </c>
      <c r="BJ84">
        <f t="shared" si="99"/>
        <v>1.6783251784870328</v>
      </c>
      <c r="BK84">
        <f t="shared" si="100"/>
        <v>0.30054469091483721</v>
      </c>
      <c r="BL84">
        <f t="shared" si="111"/>
        <v>0.78141581133120708</v>
      </c>
      <c r="BM84">
        <f t="shared" si="112"/>
        <v>0.15374767627205993</v>
      </c>
      <c r="BN84">
        <f t="shared" si="113"/>
        <v>0.30054469091483721</v>
      </c>
      <c r="BO84" s="5">
        <f t="shared" si="101"/>
        <v>0.78141581133120708</v>
      </c>
      <c r="BP84" s="5">
        <f t="shared" si="102"/>
        <v>0.31393990547212364</v>
      </c>
      <c r="BQ84" s="4">
        <f t="shared" si="114"/>
        <v>2.1907114336065998</v>
      </c>
      <c r="BR84" s="5">
        <f t="shared" si="115"/>
        <v>0.13729490601197403</v>
      </c>
      <c r="BS84">
        <f t="shared" si="104"/>
        <v>6.2342318517445765</v>
      </c>
      <c r="BT84">
        <f t="shared" si="105"/>
        <v>5.9336871608297397</v>
      </c>
      <c r="BU84">
        <f t="shared" si="116"/>
        <v>5.4528160404133699</v>
      </c>
      <c r="BV84">
        <f t="shared" si="117"/>
        <v>1.6783251784870328</v>
      </c>
      <c r="BW84">
        <f t="shared" si="118"/>
        <v>0.30054469091483721</v>
      </c>
      <c r="BX84" s="4">
        <f t="shared" si="119"/>
        <v>3.9577397388037401</v>
      </c>
      <c r="BY84">
        <f t="shared" si="120"/>
        <v>0.13966630061378371</v>
      </c>
      <c r="BZ84">
        <f t="shared" si="121"/>
        <v>23.779445092846796</v>
      </c>
      <c r="CA84">
        <f t="shared" si="122"/>
        <v>22.101119914359764</v>
      </c>
    </row>
    <row r="85" spans="1:79" x14ac:dyDescent="0.25">
      <c r="A85">
        <v>11</v>
      </c>
      <c r="B85">
        <v>1.54143585092054E-3</v>
      </c>
      <c r="C85">
        <v>1.54143585092054E-3</v>
      </c>
      <c r="D85">
        <v>3.4254130020456501E-4</v>
      </c>
      <c r="E85">
        <v>0</v>
      </c>
      <c r="F85">
        <v>0</v>
      </c>
      <c r="G85">
        <v>0</v>
      </c>
      <c r="H85" s="5">
        <v>1.7771367359861701E-5</v>
      </c>
      <c r="I85" s="5">
        <v>1.8081057367328801E-10</v>
      </c>
      <c r="J85">
        <v>3.3765941525589702E-4</v>
      </c>
      <c r="K85">
        <v>0.139102253285185</v>
      </c>
      <c r="L85">
        <v>0.14072466572308701</v>
      </c>
      <c r="M85">
        <v>4.4568945720355099E-4</v>
      </c>
      <c r="N85" t="s">
        <v>52</v>
      </c>
      <c r="O85">
        <v>0.1</v>
      </c>
      <c r="P85">
        <v>7</v>
      </c>
      <c r="Q85">
        <v>1.6497569194096201E-3</v>
      </c>
      <c r="R85">
        <v>1.6689987798565299E-3</v>
      </c>
      <c r="S85">
        <v>5.28589040482341E-6</v>
      </c>
      <c r="T85">
        <v>0</v>
      </c>
      <c r="U85">
        <v>0</v>
      </c>
      <c r="V85">
        <v>0</v>
      </c>
      <c r="W85">
        <v>1.6126163799612099E-3</v>
      </c>
      <c r="X85">
        <v>7.9623592631732702E-5</v>
      </c>
      <c r="Y85">
        <v>5.2509536820161704E-6</v>
      </c>
      <c r="Z85">
        <v>1.7397945404161699E-3</v>
      </c>
      <c r="AA85">
        <v>7.4451968508709498E-2</v>
      </c>
      <c r="AB85">
        <v>1.63655995585356E-6</v>
      </c>
      <c r="AC85">
        <v>0.1</v>
      </c>
      <c r="AD85">
        <v>100</v>
      </c>
      <c r="AE85">
        <v>10.953557168032999</v>
      </c>
      <c r="AF85">
        <v>92.356908198738694</v>
      </c>
      <c r="AG85">
        <v>19.716037225109499</v>
      </c>
      <c r="AH85">
        <f t="shared" si="76"/>
        <v>1.0953557168032999</v>
      </c>
      <c r="AI85">
        <f t="shared" si="106"/>
        <v>1.97160372251095</v>
      </c>
      <c r="AJ85">
        <f t="shared" si="107"/>
        <v>1.0953557168032999</v>
      </c>
      <c r="AK85">
        <f t="shared" si="108"/>
        <v>1.97160372251095</v>
      </c>
      <c r="AL85">
        <f t="shared" si="77"/>
        <v>0.61448459638692998</v>
      </c>
      <c r="AM85">
        <f t="shared" si="109"/>
        <v>0.48087112041636992</v>
      </c>
      <c r="AN85">
        <f t="shared" si="110"/>
        <v>0.61448459638692998</v>
      </c>
      <c r="AO85" s="5">
        <f t="shared" si="78"/>
        <v>1.7771367359861701E-3</v>
      </c>
      <c r="AP85" s="5">
        <f t="shared" si="79"/>
        <v>1.8081057367328801E-8</v>
      </c>
      <c r="AQ85" s="5">
        <f t="shared" si="80"/>
        <v>3.3765941525589704E-2</v>
      </c>
      <c r="AR85">
        <f t="shared" si="81"/>
        <v>10</v>
      </c>
      <c r="AS85" s="5">
        <f t="shared" si="82"/>
        <v>0.154143585092054</v>
      </c>
      <c r="AT85" s="8">
        <f t="shared" si="83"/>
        <v>0.154143585092054</v>
      </c>
      <c r="AU85" s="5">
        <f t="shared" si="84"/>
        <v>3.4254130020456498E-2</v>
      </c>
      <c r="AV85" s="5">
        <f t="shared" si="85"/>
        <v>0.15236644835606783</v>
      </c>
      <c r="AW85" s="8">
        <f t="shared" si="86"/>
        <v>0.15414356701099663</v>
      </c>
      <c r="AX85" s="5">
        <f t="shared" si="87"/>
        <v>4.8818849486679389E-4</v>
      </c>
      <c r="AY85" s="5">
        <f t="shared" si="88"/>
        <v>0.14893626296385978</v>
      </c>
      <c r="AZ85">
        <f t="shared" si="89"/>
        <v>7.3537888351427041E-3</v>
      </c>
      <c r="BA85">
        <f t="shared" si="90"/>
        <v>4.849618471657964E-4</v>
      </c>
      <c r="BB85" s="5">
        <f t="shared" si="91"/>
        <v>94.999999999999957</v>
      </c>
      <c r="BC85" s="5">
        <f t="shared" si="92"/>
        <v>0.15677501364616828</v>
      </c>
      <c r="BD85" s="5">
        <f t="shared" si="93"/>
        <v>0.30595375753361098</v>
      </c>
      <c r="BE85" s="16">
        <f t="shared" si="94"/>
        <v>0.31403498913950234</v>
      </c>
      <c r="BF85">
        <f t="shared" si="95"/>
        <v>3.430185392288748E-3</v>
      </c>
      <c r="BG85">
        <f t="shared" si="96"/>
        <v>0.14678977826003967</v>
      </c>
      <c r="BH85">
        <f t="shared" si="97"/>
        <v>3.2266477010732348E-6</v>
      </c>
      <c r="BI85">
        <f t="shared" si="98"/>
        <v>0.3004496072477601</v>
      </c>
      <c r="BJ85">
        <f t="shared" si="99"/>
        <v>1.6711541152631899</v>
      </c>
      <c r="BK85">
        <f t="shared" si="100"/>
        <v>0.3004496072477601</v>
      </c>
      <c r="BL85">
        <f t="shared" si="111"/>
        <v>0.78132072766413008</v>
      </c>
      <c r="BM85">
        <f t="shared" si="112"/>
        <v>0.15365498901616878</v>
      </c>
      <c r="BN85">
        <f t="shared" si="113"/>
        <v>0.3004496072477601</v>
      </c>
      <c r="BO85" s="5">
        <f t="shared" si="101"/>
        <v>0.78132072766413008</v>
      </c>
      <c r="BP85" s="5">
        <f t="shared" si="102"/>
        <v>0.31403498913950234</v>
      </c>
      <c r="BQ85" s="4">
        <f t="shared" si="114"/>
        <v>2.1907114336065998</v>
      </c>
      <c r="BR85" s="5">
        <f t="shared" si="115"/>
        <v>0.13733127533648312</v>
      </c>
      <c r="BS85">
        <f t="shared" si="104"/>
        <v>6.231822457098108</v>
      </c>
      <c r="BT85">
        <f t="shared" si="105"/>
        <v>5.931372849850348</v>
      </c>
      <c r="BU85">
        <f t="shared" si="116"/>
        <v>5.4505017294339781</v>
      </c>
      <c r="BV85">
        <f t="shared" si="117"/>
        <v>1.6711541152631899</v>
      </c>
      <c r="BW85">
        <f t="shared" si="118"/>
        <v>0.3004496072477601</v>
      </c>
      <c r="BX85" s="4">
        <f t="shared" si="119"/>
        <v>3.9432074450218999</v>
      </c>
      <c r="BY85">
        <f t="shared" si="120"/>
        <v>0.13958893397378028</v>
      </c>
      <c r="BZ85">
        <f t="shared" si="121"/>
        <v>23.603974761790845</v>
      </c>
      <c r="CA85">
        <f t="shared" si="122"/>
        <v>21.932820646527656</v>
      </c>
    </row>
    <row r="86" spans="1:79" x14ac:dyDescent="0.25">
      <c r="A86">
        <v>11</v>
      </c>
      <c r="B86">
        <v>1.54143585092054E-3</v>
      </c>
      <c r="C86">
        <v>1.54143585092054E-3</v>
      </c>
      <c r="D86">
        <v>3.4254130020456501E-4</v>
      </c>
      <c r="E86">
        <v>0</v>
      </c>
      <c r="F86">
        <v>0</v>
      </c>
      <c r="G86">
        <v>0</v>
      </c>
      <c r="H86" s="5">
        <v>1.7771367359861701E-5</v>
      </c>
      <c r="I86" s="5">
        <v>1.8081057367328801E-10</v>
      </c>
      <c r="J86">
        <v>3.3765941525589702E-4</v>
      </c>
      <c r="K86">
        <v>0.139102253285185</v>
      </c>
      <c r="L86">
        <v>0.14072466572308701</v>
      </c>
      <c r="M86">
        <v>4.4568945720355099E-4</v>
      </c>
      <c r="N86" t="s">
        <v>52</v>
      </c>
      <c r="O86">
        <v>0.1</v>
      </c>
      <c r="P86">
        <v>8</v>
      </c>
      <c r="Q86">
        <v>1.6497569194096201E-3</v>
      </c>
      <c r="R86">
        <v>1.6689987798565299E-3</v>
      </c>
      <c r="S86">
        <v>5.28589040482341E-6</v>
      </c>
      <c r="T86">
        <v>0</v>
      </c>
      <c r="U86">
        <v>0</v>
      </c>
      <c r="V86">
        <v>0</v>
      </c>
      <c r="W86">
        <v>1.6127556677607399E-3</v>
      </c>
      <c r="X86">
        <v>7.9630797964244996E-5</v>
      </c>
      <c r="Y86">
        <v>5.2510792863207299E-6</v>
      </c>
      <c r="Z86">
        <v>1.7350919198262601E-3</v>
      </c>
      <c r="AA86">
        <v>7.4529898928506394E-2</v>
      </c>
      <c r="AB86">
        <v>1.6323904665746701E-6</v>
      </c>
      <c r="AC86">
        <v>0.1</v>
      </c>
      <c r="AD86">
        <v>100</v>
      </c>
      <c r="AE86">
        <v>10.953557168032999</v>
      </c>
      <c r="AF86">
        <v>92.356908198738694</v>
      </c>
      <c r="AG86">
        <v>19.695332346498702</v>
      </c>
      <c r="AH86">
        <f t="shared" si="76"/>
        <v>1.0953557168032999</v>
      </c>
      <c r="AI86">
        <f t="shared" si="106"/>
        <v>1.9695332346498704</v>
      </c>
      <c r="AJ86">
        <f t="shared" si="107"/>
        <v>1.0953557168032999</v>
      </c>
      <c r="AK86">
        <f t="shared" si="108"/>
        <v>1.9695332346498704</v>
      </c>
      <c r="AL86">
        <f t="shared" si="77"/>
        <v>0.61448459638692998</v>
      </c>
      <c r="AM86">
        <f t="shared" si="109"/>
        <v>0.48087112041636992</v>
      </c>
      <c r="AN86">
        <f t="shared" si="110"/>
        <v>0.61448459638692998</v>
      </c>
      <c r="AO86" s="5">
        <f t="shared" si="78"/>
        <v>1.7771367359861701E-3</v>
      </c>
      <c r="AP86" s="5">
        <f t="shared" si="79"/>
        <v>1.8081057367328801E-8</v>
      </c>
      <c r="AQ86" s="5">
        <f t="shared" si="80"/>
        <v>3.3765941525589704E-2</v>
      </c>
      <c r="AR86">
        <f t="shared" si="81"/>
        <v>10</v>
      </c>
      <c r="AS86" s="5">
        <f t="shared" si="82"/>
        <v>0.154143585092054</v>
      </c>
      <c r="AT86" s="8">
        <f t="shared" si="83"/>
        <v>0.154143585092054</v>
      </c>
      <c r="AU86" s="5">
        <f t="shared" si="84"/>
        <v>3.4254130020456498E-2</v>
      </c>
      <c r="AV86" s="5">
        <f t="shared" si="85"/>
        <v>0.15236644835606783</v>
      </c>
      <c r="AW86" s="8">
        <f t="shared" si="86"/>
        <v>0.15414356701099663</v>
      </c>
      <c r="AX86" s="5">
        <f t="shared" si="87"/>
        <v>4.8818849486679389E-4</v>
      </c>
      <c r="AY86" s="5">
        <f t="shared" si="88"/>
        <v>0.14894912715437417</v>
      </c>
      <c r="AZ86">
        <f t="shared" si="89"/>
        <v>7.3544542973760828E-3</v>
      </c>
      <c r="BA86">
        <f t="shared" si="90"/>
        <v>4.8497344759102195E-4</v>
      </c>
      <c r="BB86" s="5">
        <f t="shared" si="91"/>
        <v>94.999999999999972</v>
      </c>
      <c r="BC86" s="5">
        <f t="shared" si="92"/>
        <v>0.15678855489934126</v>
      </c>
      <c r="BD86" s="5">
        <f t="shared" si="93"/>
        <v>0.30598016877751094</v>
      </c>
      <c r="BE86" s="16">
        <f t="shared" si="94"/>
        <v>0.31406208324627355</v>
      </c>
      <c r="BF86">
        <f t="shared" si="95"/>
        <v>3.4173212012702675E-3</v>
      </c>
      <c r="BG86">
        <f t="shared" si="96"/>
        <v>0.1467891129147891</v>
      </c>
      <c r="BH86">
        <f t="shared" si="97"/>
        <v>3.2150472758444213E-6</v>
      </c>
      <c r="BI86">
        <f t="shared" si="98"/>
        <v>0.30042251337394632</v>
      </c>
      <c r="BJ86">
        <f t="shared" si="99"/>
        <v>1.6691107212759242</v>
      </c>
      <c r="BK86">
        <f t="shared" si="100"/>
        <v>0.30042251337394632</v>
      </c>
      <c r="BL86">
        <f t="shared" si="111"/>
        <v>0.78129363379031624</v>
      </c>
      <c r="BM86">
        <f t="shared" si="112"/>
        <v>0.15362857788824341</v>
      </c>
      <c r="BN86">
        <f t="shared" si="113"/>
        <v>0.30042251337394632</v>
      </c>
      <c r="BO86" s="5">
        <f t="shared" si="101"/>
        <v>0.78129363379031624</v>
      </c>
      <c r="BP86" s="5">
        <f t="shared" si="102"/>
        <v>0.31406208324627355</v>
      </c>
      <c r="BQ86" s="4">
        <f t="shared" si="114"/>
        <v>2.1907114336065998</v>
      </c>
      <c r="BR86" s="5">
        <f t="shared" si="115"/>
        <v>0.13734163827601911</v>
      </c>
      <c r="BS86">
        <f t="shared" si="104"/>
        <v>6.2311361580989297</v>
      </c>
      <c r="BT86">
        <f t="shared" si="105"/>
        <v>5.9307136447249835</v>
      </c>
      <c r="BU86">
        <f t="shared" si="116"/>
        <v>5.4498425243086137</v>
      </c>
      <c r="BV86">
        <f t="shared" si="117"/>
        <v>1.6691107212759242</v>
      </c>
      <c r="BW86">
        <f t="shared" si="118"/>
        <v>0.30042251337394632</v>
      </c>
      <c r="BX86" s="4">
        <f t="shared" si="119"/>
        <v>3.9390664692997408</v>
      </c>
      <c r="BY86">
        <f t="shared" si="120"/>
        <v>0.13956685037871577</v>
      </c>
      <c r="BZ86">
        <f t="shared" si="121"/>
        <v>23.55408199685704</v>
      </c>
      <c r="CA86">
        <f t="shared" si="122"/>
        <v>21.884971275581115</v>
      </c>
    </row>
    <row r="87" spans="1:79" x14ac:dyDescent="0.25">
      <c r="A87">
        <v>11</v>
      </c>
      <c r="B87">
        <v>1.54143585092054E-3</v>
      </c>
      <c r="C87">
        <v>1.54143585092054E-3</v>
      </c>
      <c r="D87">
        <v>3.4254130020456501E-4</v>
      </c>
      <c r="E87">
        <v>0</v>
      </c>
      <c r="F87">
        <v>0</v>
      </c>
      <c r="G87">
        <v>0</v>
      </c>
      <c r="H87" s="5">
        <v>1.7771367359861701E-5</v>
      </c>
      <c r="I87" s="5">
        <v>1.8081057367328801E-10</v>
      </c>
      <c r="J87">
        <v>3.3765941525589702E-4</v>
      </c>
      <c r="K87">
        <v>0.139102253285185</v>
      </c>
      <c r="L87">
        <v>0.14072466572308701</v>
      </c>
      <c r="M87">
        <v>4.4568945720355099E-4</v>
      </c>
      <c r="N87" t="s">
        <v>52</v>
      </c>
      <c r="O87">
        <v>0.1</v>
      </c>
      <c r="P87">
        <v>9</v>
      </c>
      <c r="Q87">
        <v>1.6497569194096201E-3</v>
      </c>
      <c r="R87">
        <v>1.6689987798565299E-3</v>
      </c>
      <c r="S87">
        <v>5.28589040482341E-6</v>
      </c>
      <c r="T87">
        <v>0</v>
      </c>
      <c r="U87">
        <v>0</v>
      </c>
      <c r="V87">
        <v>0</v>
      </c>
      <c r="W87">
        <v>1.6127950089356499E-3</v>
      </c>
      <c r="X87">
        <v>7.9632833043740095E-5</v>
      </c>
      <c r="Y87">
        <v>5.2511147626523301E-6</v>
      </c>
      <c r="Z87">
        <v>1.7337618973110201E-3</v>
      </c>
      <c r="AA87">
        <v>7.4551939662868896E-2</v>
      </c>
      <c r="AB87">
        <v>1.6312112273867399E-6</v>
      </c>
      <c r="AC87">
        <v>0.1</v>
      </c>
      <c r="AD87">
        <v>100</v>
      </c>
      <c r="AE87">
        <v>10.953557168032999</v>
      </c>
      <c r="AF87">
        <v>92.356908198738694</v>
      </c>
      <c r="AG87">
        <v>19.6894843391423</v>
      </c>
      <c r="AH87">
        <f t="shared" si="76"/>
        <v>1.0953557168032999</v>
      </c>
      <c r="AI87">
        <f t="shared" si="106"/>
        <v>1.96894843391423</v>
      </c>
      <c r="AJ87">
        <f t="shared" si="107"/>
        <v>1.0953557168032999</v>
      </c>
      <c r="AK87">
        <f t="shared" si="108"/>
        <v>1.96894843391423</v>
      </c>
      <c r="AL87">
        <f t="shared" si="77"/>
        <v>0.61448459638692998</v>
      </c>
      <c r="AM87">
        <f t="shared" si="109"/>
        <v>0.48087112041636992</v>
      </c>
      <c r="AN87">
        <f t="shared" si="110"/>
        <v>0.61448459638692998</v>
      </c>
      <c r="AO87" s="5">
        <f t="shared" si="78"/>
        <v>1.7771367359861701E-3</v>
      </c>
      <c r="AP87" s="5">
        <f t="shared" si="79"/>
        <v>1.8081057367328801E-8</v>
      </c>
      <c r="AQ87" s="5">
        <f t="shared" si="80"/>
        <v>3.3765941525589704E-2</v>
      </c>
      <c r="AR87">
        <f t="shared" si="81"/>
        <v>10</v>
      </c>
      <c r="AS87" s="5">
        <f t="shared" si="82"/>
        <v>0.154143585092054</v>
      </c>
      <c r="AT87" s="8">
        <f t="shared" si="83"/>
        <v>0.154143585092054</v>
      </c>
      <c r="AU87" s="5">
        <f t="shared" si="84"/>
        <v>3.4254130020456498E-2</v>
      </c>
      <c r="AV87" s="5">
        <f t="shared" si="85"/>
        <v>0.15236644835606783</v>
      </c>
      <c r="AW87" s="8">
        <f t="shared" si="86"/>
        <v>0.15414356701099663</v>
      </c>
      <c r="AX87" s="5">
        <f t="shared" si="87"/>
        <v>4.8818849486679389E-4</v>
      </c>
      <c r="AY87" s="5">
        <f t="shared" si="88"/>
        <v>0.14895276058365378</v>
      </c>
      <c r="AZ87">
        <f t="shared" si="89"/>
        <v>7.3546422510261892E-3</v>
      </c>
      <c r="BA87">
        <f t="shared" si="90"/>
        <v>4.8497672407532278E-4</v>
      </c>
      <c r="BB87" s="5">
        <f t="shared" si="91"/>
        <v>95.000000001808914</v>
      </c>
      <c r="BC87" s="5">
        <f t="shared" si="92"/>
        <v>0.1567923795587553</v>
      </c>
      <c r="BD87" s="5">
        <f t="shared" si="93"/>
        <v>0.30598762850444672</v>
      </c>
      <c r="BE87" s="16">
        <f t="shared" si="94"/>
        <v>0.31406973584158593</v>
      </c>
      <c r="BF87">
        <f t="shared" si="95"/>
        <v>3.4136877724906972E-3</v>
      </c>
      <c r="BG87">
        <f t="shared" si="96"/>
        <v>0.14678892484447389</v>
      </c>
      <c r="BH87">
        <f t="shared" si="97"/>
        <v>3.2117707915464306E-6</v>
      </c>
      <c r="BI87">
        <f t="shared" si="98"/>
        <v>0.30041486054630384</v>
      </c>
      <c r="BJ87">
        <f t="shared" si="99"/>
        <v>1.6685335733679261</v>
      </c>
      <c r="BK87">
        <f t="shared" si="100"/>
        <v>0.30041486054630384</v>
      </c>
      <c r="BL87">
        <f t="shared" si="111"/>
        <v>0.78128598096267377</v>
      </c>
      <c r="BM87">
        <f t="shared" si="112"/>
        <v>0.1536211180456426</v>
      </c>
      <c r="BN87">
        <f t="shared" si="113"/>
        <v>0.30041486054630384</v>
      </c>
      <c r="BO87" s="5">
        <f t="shared" si="101"/>
        <v>0.78128598096267377</v>
      </c>
      <c r="BP87" s="5">
        <f t="shared" si="102"/>
        <v>0.31406973584158593</v>
      </c>
      <c r="BQ87" s="4">
        <f t="shared" si="114"/>
        <v>2.1907114336065998</v>
      </c>
      <c r="BR87" s="5">
        <f t="shared" si="115"/>
        <v>0.13734456519599758</v>
      </c>
      <c r="BS87">
        <f t="shared" si="104"/>
        <v>6.2309423345910284</v>
      </c>
      <c r="BT87">
        <f t="shared" si="105"/>
        <v>5.9305274740447249</v>
      </c>
      <c r="BU87">
        <f t="shared" si="116"/>
        <v>5.4496563536283551</v>
      </c>
      <c r="BV87">
        <f t="shared" si="117"/>
        <v>1.6685335733679261</v>
      </c>
      <c r="BW87">
        <f t="shared" si="118"/>
        <v>0.30041486054630384</v>
      </c>
      <c r="BX87" s="4">
        <f t="shared" si="119"/>
        <v>3.93789686782846</v>
      </c>
      <c r="BY87">
        <f t="shared" si="120"/>
        <v>0.13956060976761275</v>
      </c>
      <c r="BZ87">
        <f t="shared" si="121"/>
        <v>23.539998654967814</v>
      </c>
      <c r="CA87">
        <f t="shared" si="122"/>
        <v>21.871465081599887</v>
      </c>
    </row>
    <row r="88" spans="1:79" x14ac:dyDescent="0.25">
      <c r="A88">
        <v>11</v>
      </c>
      <c r="B88">
        <v>1.54143585092054E-3</v>
      </c>
      <c r="C88">
        <v>1.54143585092054E-3</v>
      </c>
      <c r="D88">
        <v>3.4254130020456501E-4</v>
      </c>
      <c r="E88">
        <v>0</v>
      </c>
      <c r="F88">
        <v>0</v>
      </c>
      <c r="G88">
        <v>0</v>
      </c>
      <c r="H88" s="5">
        <v>1.7771367359861701E-5</v>
      </c>
      <c r="I88" s="5">
        <v>1.8081057367328801E-10</v>
      </c>
      <c r="J88">
        <v>3.3765941525589702E-4</v>
      </c>
      <c r="K88">
        <v>0.139102253285185</v>
      </c>
      <c r="L88">
        <v>0.14072466572308701</v>
      </c>
      <c r="M88">
        <v>4.4568945720355099E-4</v>
      </c>
      <c r="N88" t="s">
        <v>52</v>
      </c>
      <c r="O88">
        <v>0.1</v>
      </c>
      <c r="P88">
        <v>10</v>
      </c>
      <c r="Q88">
        <v>1.6497569194096201E-3</v>
      </c>
      <c r="R88">
        <v>1.6689987798565299E-3</v>
      </c>
      <c r="S88">
        <v>5.28589040482341E-6</v>
      </c>
      <c r="T88">
        <v>0</v>
      </c>
      <c r="U88">
        <v>0</v>
      </c>
      <c r="V88">
        <v>0</v>
      </c>
      <c r="W88">
        <v>1.61280608328623E-3</v>
      </c>
      <c r="X88">
        <v>7.9633405949388404E-5</v>
      </c>
      <c r="Y88">
        <v>5.2511247490748196E-6</v>
      </c>
      <c r="Z88">
        <v>1.7333873588263201E-3</v>
      </c>
      <c r="AA88">
        <v>7.4558146402506298E-2</v>
      </c>
      <c r="AB88">
        <v>1.63087914994542E-6</v>
      </c>
      <c r="AC88">
        <v>0.1</v>
      </c>
      <c r="AD88">
        <v>100</v>
      </c>
      <c r="AE88">
        <v>10.953557168032999</v>
      </c>
      <c r="AF88">
        <v>92.356908198738694</v>
      </c>
      <c r="AG88">
        <v>19.687838161047701</v>
      </c>
      <c r="AH88">
        <f t="shared" si="76"/>
        <v>1.0953557168032999</v>
      </c>
      <c r="AI88">
        <f t="shared" si="106"/>
        <v>1.9687838161047702</v>
      </c>
      <c r="AJ88">
        <f t="shared" si="107"/>
        <v>1.0953557168032999</v>
      </c>
      <c r="AK88">
        <f t="shared" si="108"/>
        <v>1.9687838161047702</v>
      </c>
      <c r="AL88">
        <f t="shared" si="77"/>
        <v>0.61448459638692998</v>
      </c>
      <c r="AM88">
        <f t="shared" si="109"/>
        <v>0.48087112041636992</v>
      </c>
      <c r="AN88">
        <f t="shared" si="110"/>
        <v>0.61448459638692998</v>
      </c>
      <c r="AO88" s="5">
        <f t="shared" si="78"/>
        <v>1.7771367359861701E-3</v>
      </c>
      <c r="AP88" s="5">
        <f t="shared" si="79"/>
        <v>1.8081057367328801E-8</v>
      </c>
      <c r="AQ88" s="5">
        <f t="shared" si="80"/>
        <v>3.3765941525589704E-2</v>
      </c>
      <c r="AR88">
        <f t="shared" si="81"/>
        <v>10</v>
      </c>
      <c r="AS88" s="5">
        <f t="shared" si="82"/>
        <v>0.154143585092054</v>
      </c>
      <c r="AT88" s="8">
        <f t="shared" si="83"/>
        <v>0.154143585092054</v>
      </c>
      <c r="AU88" s="5">
        <f t="shared" si="84"/>
        <v>3.4254130020456498E-2</v>
      </c>
      <c r="AV88" s="5">
        <f t="shared" si="85"/>
        <v>0.15236644835606783</v>
      </c>
      <c r="AW88" s="8">
        <f t="shared" si="86"/>
        <v>0.15414356701099663</v>
      </c>
      <c r="AX88" s="5">
        <f t="shared" si="87"/>
        <v>4.8818849486679389E-4</v>
      </c>
      <c r="AY88" s="5">
        <f t="shared" si="88"/>
        <v>0.14895378337643364</v>
      </c>
      <c r="AZ88">
        <f t="shared" si="89"/>
        <v>7.354695162820557E-3</v>
      </c>
      <c r="BA88">
        <f t="shared" si="90"/>
        <v>4.8497764639042788E-4</v>
      </c>
      <c r="BB88" s="5">
        <f t="shared" si="91"/>
        <v>95.000000000045432</v>
      </c>
      <c r="BC88" s="5">
        <f t="shared" si="92"/>
        <v>0.15679345618564464</v>
      </c>
      <c r="BD88" s="5">
        <f t="shared" si="93"/>
        <v>0.3059897283852735</v>
      </c>
      <c r="BE88" s="16">
        <f t="shared" si="94"/>
        <v>0.31407189001767966</v>
      </c>
      <c r="BF88">
        <f t="shared" si="95"/>
        <v>3.4126649790978511E-3</v>
      </c>
      <c r="BG88">
        <f t="shared" si="96"/>
        <v>0.1467888719960245</v>
      </c>
      <c r="BH88">
        <f t="shared" si="97"/>
        <v>3.2108484764352478E-6</v>
      </c>
      <c r="BI88">
        <f t="shared" si="98"/>
        <v>0.30041270649567398</v>
      </c>
      <c r="BJ88">
        <f t="shared" si="99"/>
        <v>1.6683711096090961</v>
      </c>
      <c r="BK88">
        <f t="shared" si="100"/>
        <v>0.30041270649567398</v>
      </c>
      <c r="BL88">
        <f t="shared" si="111"/>
        <v>0.7812838269120439</v>
      </c>
      <c r="BM88">
        <f t="shared" si="112"/>
        <v>0.15361901822693486</v>
      </c>
      <c r="BN88">
        <f t="shared" si="113"/>
        <v>0.30041270649567398</v>
      </c>
      <c r="BO88" s="5">
        <f t="shared" si="101"/>
        <v>0.7812838269120439</v>
      </c>
      <c r="BP88" s="5">
        <f t="shared" si="102"/>
        <v>0.31407189001767966</v>
      </c>
      <c r="BQ88" s="4">
        <f t="shared" si="114"/>
        <v>2.1907114336065998</v>
      </c>
      <c r="BR88" s="5">
        <f t="shared" si="115"/>
        <v>0.13734538910946781</v>
      </c>
      <c r="BS88">
        <f t="shared" si="104"/>
        <v>6.2308877771789311</v>
      </c>
      <c r="BT88">
        <f t="shared" si="105"/>
        <v>5.930475070683257</v>
      </c>
      <c r="BU88">
        <f t="shared" si="116"/>
        <v>5.4496039502668872</v>
      </c>
      <c r="BV88">
        <f t="shared" si="117"/>
        <v>1.6683711096090961</v>
      </c>
      <c r="BW88">
        <f t="shared" si="118"/>
        <v>0.30041270649567398</v>
      </c>
      <c r="BX88" s="4">
        <f t="shared" si="119"/>
        <v>3.9375676322095403</v>
      </c>
      <c r="BY88">
        <f t="shared" si="120"/>
        <v>0.13955885290435635</v>
      </c>
      <c r="BZ88">
        <f t="shared" si="121"/>
        <v>23.536034952266473</v>
      </c>
      <c r="CA88">
        <f t="shared" si="122"/>
        <v>21.867663842657375</v>
      </c>
    </row>
    <row r="89" spans="1:79" x14ac:dyDescent="0.25">
      <c r="A89">
        <v>11</v>
      </c>
      <c r="B89">
        <v>1.54143585092054E-3</v>
      </c>
      <c r="C89">
        <v>1.54143585092054E-3</v>
      </c>
      <c r="D89">
        <v>3.4254130020456501E-4</v>
      </c>
      <c r="E89">
        <v>0</v>
      </c>
      <c r="F89">
        <v>0</v>
      </c>
      <c r="G89">
        <v>0</v>
      </c>
      <c r="H89" s="5">
        <v>1.7771367359861701E-5</v>
      </c>
      <c r="I89" s="5">
        <v>1.8081057367328801E-10</v>
      </c>
      <c r="J89">
        <v>3.3765941525589702E-4</v>
      </c>
      <c r="K89">
        <v>0.139102253285185</v>
      </c>
      <c r="L89">
        <v>0.14072466572308701</v>
      </c>
      <c r="M89">
        <v>4.4568945720355099E-4</v>
      </c>
      <c r="N89" t="s">
        <v>52</v>
      </c>
      <c r="O89">
        <v>0.1</v>
      </c>
      <c r="P89">
        <v>11</v>
      </c>
      <c r="Q89">
        <v>1.6497569194096201E-3</v>
      </c>
      <c r="R89">
        <v>1.6689987798565299E-3</v>
      </c>
      <c r="S89">
        <v>5.28589040482341E-6</v>
      </c>
      <c r="T89">
        <v>0</v>
      </c>
      <c r="U89">
        <v>0</v>
      </c>
      <c r="V89">
        <v>0</v>
      </c>
      <c r="W89">
        <v>1.6128091969893901E-3</v>
      </c>
      <c r="X89">
        <v>7.9633567021484305E-5</v>
      </c>
      <c r="Y89">
        <v>5.2511275568870697E-6</v>
      </c>
      <c r="Z89">
        <v>1.7332820417295799E-3</v>
      </c>
      <c r="AA89">
        <v>7.4559891685805804E-2</v>
      </c>
      <c r="AB89">
        <v>1.63078577254671E-6</v>
      </c>
      <c r="AC89">
        <v>0.1</v>
      </c>
      <c r="AD89">
        <v>100</v>
      </c>
      <c r="AE89">
        <v>10.953557168032999</v>
      </c>
      <c r="AF89">
        <v>92.356908198738694</v>
      </c>
      <c r="AG89">
        <v>19.687375310907502</v>
      </c>
      <c r="AH89">
        <f t="shared" si="76"/>
        <v>1.0953557168032999</v>
      </c>
      <c r="AI89">
        <f t="shared" si="106"/>
        <v>1.9687375310907502</v>
      </c>
      <c r="AJ89">
        <f t="shared" si="107"/>
        <v>1.0953557168032999</v>
      </c>
      <c r="AK89">
        <f t="shared" si="108"/>
        <v>1.9687375310907502</v>
      </c>
      <c r="AL89">
        <f t="shared" si="77"/>
        <v>0.61448459638692998</v>
      </c>
      <c r="AM89">
        <f t="shared" si="109"/>
        <v>0.48087112041636992</v>
      </c>
      <c r="AN89">
        <f t="shared" si="110"/>
        <v>0.61448459638692998</v>
      </c>
      <c r="AO89" s="5">
        <f t="shared" si="78"/>
        <v>1.7771367359861701E-3</v>
      </c>
      <c r="AP89" s="5">
        <f t="shared" si="79"/>
        <v>1.8081057367328801E-8</v>
      </c>
      <c r="AQ89" s="5">
        <f t="shared" si="80"/>
        <v>3.3765941525589704E-2</v>
      </c>
      <c r="AR89">
        <f t="shared" si="81"/>
        <v>10</v>
      </c>
      <c r="AS89" s="5">
        <f t="shared" si="82"/>
        <v>0.154143585092054</v>
      </c>
      <c r="AT89" s="8">
        <f t="shared" si="83"/>
        <v>0.154143585092054</v>
      </c>
      <c r="AU89" s="5">
        <f t="shared" si="84"/>
        <v>3.4254130020456498E-2</v>
      </c>
      <c r="AV89" s="5">
        <f t="shared" si="85"/>
        <v>0.15236644835606783</v>
      </c>
      <c r="AW89" s="8">
        <f t="shared" si="86"/>
        <v>0.15414356701099663</v>
      </c>
      <c r="AX89" s="5">
        <f t="shared" si="87"/>
        <v>4.8818849486679389E-4</v>
      </c>
      <c r="AY89" s="5">
        <f t="shared" si="88"/>
        <v>0.14895407094843058</v>
      </c>
      <c r="AZ89">
        <f t="shared" si="89"/>
        <v>7.3547100389413315E-3</v>
      </c>
      <c r="BA89">
        <f t="shared" si="90"/>
        <v>4.8497790571128607E-4</v>
      </c>
      <c r="BB89" s="5">
        <f t="shared" si="91"/>
        <v>95.000000000000981</v>
      </c>
      <c r="BC89" s="5">
        <f t="shared" si="92"/>
        <v>0.1567937588930832</v>
      </c>
      <c r="BD89" s="5">
        <f t="shared" si="93"/>
        <v>0.30599031879436944</v>
      </c>
      <c r="BE89" s="16">
        <f t="shared" si="94"/>
        <v>0.31407249569187767</v>
      </c>
      <c r="BF89">
        <f t="shared" si="95"/>
        <v>3.4123774075186281E-3</v>
      </c>
      <c r="BG89">
        <f t="shared" si="96"/>
        <v>0.14678885707590708</v>
      </c>
      <c r="BH89">
        <f t="shared" si="97"/>
        <v>3.2105891555815317E-6</v>
      </c>
      <c r="BI89">
        <f t="shared" si="98"/>
        <v>0.30041210073431818</v>
      </c>
      <c r="BJ89">
        <f t="shared" si="99"/>
        <v>1.6683254303564321</v>
      </c>
      <c r="BK89">
        <f t="shared" si="100"/>
        <v>0.30041210073431818</v>
      </c>
      <c r="BL89">
        <f t="shared" si="111"/>
        <v>0.78128322115068816</v>
      </c>
      <c r="BM89">
        <f t="shared" si="112"/>
        <v>0.15361842777467771</v>
      </c>
      <c r="BN89">
        <f t="shared" si="113"/>
        <v>0.30041210073431818</v>
      </c>
      <c r="BO89" s="5">
        <f t="shared" si="101"/>
        <v>0.78128322115068816</v>
      </c>
      <c r="BP89" s="5">
        <f t="shared" si="102"/>
        <v>0.31407249569187767</v>
      </c>
      <c r="BQ89" s="4">
        <f t="shared" si="114"/>
        <v>2.1907114336065998</v>
      </c>
      <c r="BR89" s="5">
        <f t="shared" si="115"/>
        <v>0.13734562076303686</v>
      </c>
      <c r="BS89">
        <f t="shared" si="104"/>
        <v>6.230872436816826</v>
      </c>
      <c r="BT89">
        <f t="shared" si="105"/>
        <v>5.9304603360825077</v>
      </c>
      <c r="BU89">
        <f t="shared" si="116"/>
        <v>5.4495892156661379</v>
      </c>
      <c r="BV89">
        <f t="shared" si="117"/>
        <v>1.6683254303564321</v>
      </c>
      <c r="BW89">
        <f t="shared" si="118"/>
        <v>0.30041210073431818</v>
      </c>
      <c r="BX89" s="4">
        <f t="shared" si="119"/>
        <v>3.9374750621815005</v>
      </c>
      <c r="BY89">
        <f t="shared" si="120"/>
        <v>0.13955835886450088</v>
      </c>
      <c r="BZ89">
        <f t="shared" si="121"/>
        <v>23.534920556100811</v>
      </c>
      <c r="CA89">
        <f t="shared" si="122"/>
        <v>21.866595125744379</v>
      </c>
    </row>
    <row r="90" spans="1:79" x14ac:dyDescent="0.25">
      <c r="A90">
        <v>11</v>
      </c>
      <c r="B90">
        <v>1.54143585092054E-3</v>
      </c>
      <c r="C90">
        <v>1.54143585092054E-3</v>
      </c>
      <c r="D90">
        <v>3.4254130020456501E-4</v>
      </c>
      <c r="E90">
        <v>0</v>
      </c>
      <c r="F90">
        <v>0</v>
      </c>
      <c r="G90">
        <v>0</v>
      </c>
      <c r="H90" s="5">
        <v>1.7771367359861701E-5</v>
      </c>
      <c r="I90" s="5">
        <v>1.8081057367328801E-10</v>
      </c>
      <c r="J90">
        <v>3.3765941525589702E-4</v>
      </c>
      <c r="K90">
        <v>0.139102253285185</v>
      </c>
      <c r="L90">
        <v>0.14072466572308701</v>
      </c>
      <c r="M90">
        <v>4.4568945720355099E-4</v>
      </c>
      <c r="N90" t="s">
        <v>52</v>
      </c>
      <c r="O90">
        <v>0.1</v>
      </c>
      <c r="P90">
        <v>12</v>
      </c>
      <c r="Q90">
        <v>1.6497569194096201E-3</v>
      </c>
      <c r="R90">
        <v>1.6689987798565299E-3</v>
      </c>
      <c r="S90">
        <v>5.28589040482341E-6</v>
      </c>
      <c r="T90">
        <v>0</v>
      </c>
      <c r="U90">
        <v>0</v>
      </c>
      <c r="V90">
        <v>0</v>
      </c>
      <c r="W90">
        <v>1.6128100720939401E-3</v>
      </c>
      <c r="X90">
        <v>7.9633612290502494E-5</v>
      </c>
      <c r="Y90">
        <v>5.2511283460207698E-6</v>
      </c>
      <c r="Z90">
        <v>1.73325244157297E-3</v>
      </c>
      <c r="AA90">
        <v>7.4560382210708806E-2</v>
      </c>
      <c r="AB90">
        <v>1.63075952813163E-6</v>
      </c>
      <c r="AC90">
        <v>0.1</v>
      </c>
      <c r="AD90">
        <v>100</v>
      </c>
      <c r="AE90">
        <v>10.953557168032999</v>
      </c>
      <c r="AF90">
        <v>92.356908198738694</v>
      </c>
      <c r="AG90">
        <v>19.687245226846901</v>
      </c>
      <c r="AH90">
        <f t="shared" si="76"/>
        <v>1.0953557168032999</v>
      </c>
      <c r="AI90">
        <f t="shared" si="106"/>
        <v>1.9687245226846901</v>
      </c>
      <c r="AJ90">
        <f t="shared" si="107"/>
        <v>1.0953557168032999</v>
      </c>
      <c r="AK90">
        <f t="shared" si="108"/>
        <v>1.9687245226846901</v>
      </c>
      <c r="AL90">
        <f t="shared" si="77"/>
        <v>0.61448459638692998</v>
      </c>
      <c r="AM90">
        <f t="shared" si="109"/>
        <v>0.48087112041636992</v>
      </c>
      <c r="AN90">
        <f t="shared" si="110"/>
        <v>0.61448459638692998</v>
      </c>
      <c r="AO90" s="5">
        <f t="shared" si="78"/>
        <v>1.7771367359861701E-3</v>
      </c>
      <c r="AP90" s="5">
        <f t="shared" si="79"/>
        <v>1.8081057367328801E-8</v>
      </c>
      <c r="AQ90" s="5">
        <f t="shared" si="80"/>
        <v>3.3765941525589704E-2</v>
      </c>
      <c r="AR90">
        <f t="shared" si="81"/>
        <v>10</v>
      </c>
      <c r="AS90" s="5">
        <f t="shared" si="82"/>
        <v>0.154143585092054</v>
      </c>
      <c r="AT90" s="8">
        <f t="shared" si="83"/>
        <v>0.154143585092054</v>
      </c>
      <c r="AU90" s="5">
        <f t="shared" si="84"/>
        <v>3.4254130020456498E-2</v>
      </c>
      <c r="AV90" s="5">
        <f t="shared" si="85"/>
        <v>0.15236644835606783</v>
      </c>
      <c r="AW90" s="8">
        <f t="shared" si="86"/>
        <v>0.15414356701099663</v>
      </c>
      <c r="AX90" s="5">
        <f t="shared" si="87"/>
        <v>4.8818849486679389E-4</v>
      </c>
      <c r="AY90" s="5">
        <f t="shared" si="88"/>
        <v>0.14895415177038115</v>
      </c>
      <c r="AZ90">
        <f t="shared" si="89"/>
        <v>7.3547142198478882E-3</v>
      </c>
      <c r="BA90">
        <f t="shared" si="90"/>
        <v>4.8497797859323481E-4</v>
      </c>
      <c r="BB90" s="5">
        <f t="shared" si="91"/>
        <v>95</v>
      </c>
      <c r="BC90" s="5">
        <f t="shared" si="92"/>
        <v>0.15679384396882226</v>
      </c>
      <c r="BD90" s="5">
        <f t="shared" si="93"/>
        <v>0.30599048472850005</v>
      </c>
      <c r="BE90" s="16">
        <f t="shared" si="94"/>
        <v>0.31407266591623778</v>
      </c>
      <c r="BF90">
        <f t="shared" si="95"/>
        <v>3.4122965857278191E-3</v>
      </c>
      <c r="BG90">
        <f t="shared" si="96"/>
        <v>0.14678885287896576</v>
      </c>
      <c r="BH90">
        <f t="shared" si="97"/>
        <v>3.210516273634454E-6</v>
      </c>
      <c r="BI90">
        <f t="shared" si="98"/>
        <v>0.30041193047820802</v>
      </c>
      <c r="BJ90">
        <f t="shared" si="99"/>
        <v>1.6683125922064821</v>
      </c>
      <c r="BK90">
        <f t="shared" si="100"/>
        <v>0.30041193047820802</v>
      </c>
      <c r="BL90">
        <f t="shared" si="111"/>
        <v>0.78128305089457795</v>
      </c>
      <c r="BM90">
        <f t="shared" si="112"/>
        <v>0.15361826182483185</v>
      </c>
      <c r="BN90">
        <f t="shared" si="113"/>
        <v>0.30041193047820802</v>
      </c>
      <c r="BO90" s="5">
        <f t="shared" si="101"/>
        <v>0.78128305089457795</v>
      </c>
      <c r="BP90" s="5">
        <f t="shared" si="102"/>
        <v>0.31407266591623778</v>
      </c>
      <c r="BQ90" s="4">
        <f t="shared" si="114"/>
        <v>2.1907114336065998</v>
      </c>
      <c r="BR90" s="5">
        <f t="shared" si="115"/>
        <v>0.13734568586910953</v>
      </c>
      <c r="BS90">
        <f t="shared" si="104"/>
        <v>6.2308681253698843</v>
      </c>
      <c r="BT90">
        <f t="shared" si="105"/>
        <v>5.9304561948916765</v>
      </c>
      <c r="BU90">
        <f t="shared" si="116"/>
        <v>5.4495850744753067</v>
      </c>
      <c r="BV90">
        <f t="shared" si="117"/>
        <v>1.6683125922064821</v>
      </c>
      <c r="BW90">
        <f t="shared" si="118"/>
        <v>0.30041193047820802</v>
      </c>
      <c r="BX90" s="4">
        <f t="shared" si="119"/>
        <v>3.9374490453693802</v>
      </c>
      <c r="BY90">
        <f t="shared" si="120"/>
        <v>0.13955822001008622</v>
      </c>
      <c r="BZ90">
        <f t="shared" si="121"/>
        <v>23.534607359875967</v>
      </c>
      <c r="CA90">
        <f t="shared" si="122"/>
        <v>21.866294767669483</v>
      </c>
    </row>
    <row r="91" spans="1:79" x14ac:dyDescent="0.25">
      <c r="A91">
        <v>11</v>
      </c>
      <c r="B91">
        <v>1.54143585092054E-3</v>
      </c>
      <c r="C91">
        <v>1.54143585092054E-3</v>
      </c>
      <c r="D91">
        <v>3.4254130020456501E-4</v>
      </c>
      <c r="E91">
        <v>0</v>
      </c>
      <c r="F91">
        <v>0</v>
      </c>
      <c r="G91">
        <v>0</v>
      </c>
      <c r="H91" s="5">
        <v>1.7771367359861701E-5</v>
      </c>
      <c r="I91" s="5">
        <v>1.8081057367328801E-10</v>
      </c>
      <c r="J91">
        <v>3.3765941525589702E-4</v>
      </c>
      <c r="K91">
        <v>0.139102253285185</v>
      </c>
      <c r="L91">
        <v>0.14072466572308701</v>
      </c>
      <c r="M91">
        <v>4.4568945720355099E-4</v>
      </c>
      <c r="N91" t="s">
        <v>52</v>
      </c>
      <c r="O91">
        <v>0.1</v>
      </c>
      <c r="P91">
        <v>13</v>
      </c>
      <c r="Q91">
        <v>1.6497569194096201E-3</v>
      </c>
      <c r="R91">
        <v>1.6689987798565299E-3</v>
      </c>
      <c r="S91">
        <v>5.28589040482341E-6</v>
      </c>
      <c r="T91">
        <v>0</v>
      </c>
      <c r="U91">
        <v>0</v>
      </c>
      <c r="V91">
        <v>0</v>
      </c>
      <c r="W91">
        <v>1.6128103180087E-3</v>
      </c>
      <c r="X91">
        <v>7.9633625011629096E-5</v>
      </c>
      <c r="Y91">
        <v>5.2511285677767398E-6</v>
      </c>
      <c r="Z91">
        <v>1.7332441234993001E-3</v>
      </c>
      <c r="AA91">
        <v>7.4560520055328497E-2</v>
      </c>
      <c r="AB91">
        <v>1.6307521530699199E-6</v>
      </c>
      <c r="AC91">
        <v>0.1</v>
      </c>
      <c r="AD91">
        <v>100</v>
      </c>
      <c r="AE91">
        <v>10.953557168032999</v>
      </c>
      <c r="AF91">
        <v>92.356908198738694</v>
      </c>
      <c r="AG91">
        <v>19.687208671741999</v>
      </c>
      <c r="AH91">
        <f t="shared" si="76"/>
        <v>1.0953557168032999</v>
      </c>
      <c r="AI91">
        <f t="shared" si="106"/>
        <v>1.9687208671742</v>
      </c>
      <c r="AJ91">
        <f t="shared" si="107"/>
        <v>1.0953557168032999</v>
      </c>
      <c r="AK91">
        <f t="shared" si="108"/>
        <v>1.9687208671742</v>
      </c>
      <c r="AL91">
        <f t="shared" si="77"/>
        <v>0.61448459638692998</v>
      </c>
      <c r="AM91">
        <f t="shared" si="109"/>
        <v>0.48087112041636992</v>
      </c>
      <c r="AN91">
        <f t="shared" si="110"/>
        <v>0.61448459638692998</v>
      </c>
      <c r="AO91" s="5">
        <f t="shared" si="78"/>
        <v>1.7771367359861701E-3</v>
      </c>
      <c r="AP91" s="5">
        <f t="shared" si="79"/>
        <v>1.8081057367328801E-8</v>
      </c>
      <c r="AQ91" s="5">
        <f t="shared" si="80"/>
        <v>3.3765941525589704E-2</v>
      </c>
      <c r="AR91">
        <f t="shared" si="81"/>
        <v>10</v>
      </c>
      <c r="AS91" s="5">
        <f t="shared" si="82"/>
        <v>0.154143585092054</v>
      </c>
      <c r="AT91" s="8">
        <f t="shared" si="83"/>
        <v>0.154143585092054</v>
      </c>
      <c r="AU91" s="5">
        <f t="shared" si="84"/>
        <v>3.4254130020456498E-2</v>
      </c>
      <c r="AV91" s="5">
        <f t="shared" si="85"/>
        <v>0.15236644835606783</v>
      </c>
      <c r="AW91" s="8">
        <f t="shared" si="86"/>
        <v>0.15414356701099663</v>
      </c>
      <c r="AX91" s="5">
        <f t="shared" si="87"/>
        <v>4.8818849486679389E-4</v>
      </c>
      <c r="AY91" s="5">
        <f t="shared" si="88"/>
        <v>0.14895417448230808</v>
      </c>
      <c r="AZ91">
        <f t="shared" si="89"/>
        <v>7.3547153947318101E-3</v>
      </c>
      <c r="BA91">
        <f t="shared" si="90"/>
        <v>4.8497799907393056E-4</v>
      </c>
      <c r="BB91" s="5">
        <f t="shared" si="91"/>
        <v>94.999999999999957</v>
      </c>
      <c r="BC91" s="5">
        <f t="shared" si="92"/>
        <v>0.15679386787611382</v>
      </c>
      <c r="BD91" s="5">
        <f t="shared" si="93"/>
        <v>0.30599053135795884</v>
      </c>
      <c r="BE91" s="16">
        <f t="shared" si="94"/>
        <v>0.31407271375130158</v>
      </c>
      <c r="BF91">
        <f t="shared" si="95"/>
        <v>3.4122738738401283E-3</v>
      </c>
      <c r="BG91">
        <f t="shared" si="96"/>
        <v>0.14678885170028566</v>
      </c>
      <c r="BH91">
        <f t="shared" si="97"/>
        <v>3.2104957929380064E-6</v>
      </c>
      <c r="BI91">
        <f t="shared" si="98"/>
        <v>0.3004118826356304</v>
      </c>
      <c r="BJ91">
        <f t="shared" si="99"/>
        <v>1.6683089845385697</v>
      </c>
      <c r="BK91">
        <f t="shared" si="100"/>
        <v>0.3004118826356304</v>
      </c>
      <c r="BL91">
        <f t="shared" si="111"/>
        <v>0.78128300305200038</v>
      </c>
      <c r="BM91">
        <f t="shared" si="112"/>
        <v>0.15361821519165533</v>
      </c>
      <c r="BN91">
        <f t="shared" si="113"/>
        <v>0.3004118826356304</v>
      </c>
      <c r="BO91" s="5">
        <f t="shared" si="101"/>
        <v>0.78128300305200038</v>
      </c>
      <c r="BP91" s="5">
        <f t="shared" si="102"/>
        <v>0.31407271375130158</v>
      </c>
      <c r="BQ91" s="4">
        <f t="shared" si="114"/>
        <v>2.1907114336065998</v>
      </c>
      <c r="BR91" s="5">
        <f t="shared" si="115"/>
        <v>0.13734570416468639</v>
      </c>
      <c r="BS91">
        <f t="shared" si="104"/>
        <v>6.2308669138142081</v>
      </c>
      <c r="BT91">
        <f t="shared" si="105"/>
        <v>5.9304550311785773</v>
      </c>
      <c r="BU91">
        <f t="shared" si="116"/>
        <v>5.4495839107622075</v>
      </c>
      <c r="BV91">
        <f t="shared" si="117"/>
        <v>1.6683089845385697</v>
      </c>
      <c r="BW91">
        <f t="shared" si="118"/>
        <v>0.3004118826356304</v>
      </c>
      <c r="BX91" s="4">
        <f t="shared" si="119"/>
        <v>3.9374417343484001</v>
      </c>
      <c r="BY91">
        <f t="shared" si="120"/>
        <v>0.13955818099086573</v>
      </c>
      <c r="BZ91">
        <f t="shared" si="121"/>
        <v>23.534519348387413</v>
      </c>
      <c r="CA91">
        <f t="shared" si="122"/>
        <v>21.866210363848843</v>
      </c>
    </row>
    <row r="92" spans="1:79" x14ac:dyDescent="0.25">
      <c r="A92">
        <v>12</v>
      </c>
      <c r="B92">
        <v>1.54143585092054E-3</v>
      </c>
      <c r="C92">
        <v>1.54143585092054E-3</v>
      </c>
      <c r="D92">
        <v>3.4254130020456501E-4</v>
      </c>
      <c r="E92">
        <v>0</v>
      </c>
      <c r="F92">
        <v>0</v>
      </c>
      <c r="G92">
        <v>0</v>
      </c>
      <c r="H92" s="5">
        <v>1.7771599281349402E-5</v>
      </c>
      <c r="I92" s="5">
        <v>6.3113732322488897E-11</v>
      </c>
      <c r="J92">
        <v>3.37661562480901E-4</v>
      </c>
      <c r="K92">
        <v>0.13911791568267901</v>
      </c>
      <c r="L92">
        <v>0.140740543921716</v>
      </c>
      <c r="M92">
        <v>4.45543656000266E-4</v>
      </c>
      <c r="N92" t="s">
        <v>52</v>
      </c>
      <c r="O92">
        <v>0.1</v>
      </c>
      <c r="P92">
        <v>4</v>
      </c>
      <c r="Q92">
        <v>1.6497575706444501E-3</v>
      </c>
      <c r="R92">
        <v>1.66899983148883E-3</v>
      </c>
      <c r="S92">
        <v>5.28356837386519E-6</v>
      </c>
      <c r="T92">
        <v>0</v>
      </c>
      <c r="U92">
        <v>0</v>
      </c>
      <c r="V92">
        <v>0</v>
      </c>
      <c r="W92">
        <v>1.6048452348297699E-3</v>
      </c>
      <c r="X92">
        <v>7.9223897063492306E-5</v>
      </c>
      <c r="Y92">
        <v>5.2416416138490404E-6</v>
      </c>
      <c r="Z92">
        <v>1.9874016210830801E-3</v>
      </c>
      <c r="AA92">
        <v>7.0348673954820695E-2</v>
      </c>
      <c r="AB92">
        <v>1.85528784684309E-6</v>
      </c>
      <c r="AC92">
        <v>0.1</v>
      </c>
      <c r="AD92">
        <v>100</v>
      </c>
      <c r="AE92">
        <v>10.952322309941399</v>
      </c>
      <c r="AF92">
        <v>92.356857683566091</v>
      </c>
      <c r="AG92">
        <v>20.871283207272999</v>
      </c>
      <c r="AH92">
        <f t="shared" si="76"/>
        <v>1.09523223099414</v>
      </c>
      <c r="AI92">
        <f t="shared" si="106"/>
        <v>2.0871283207273001</v>
      </c>
      <c r="AJ92">
        <f t="shared" si="107"/>
        <v>1.09523223099414</v>
      </c>
      <c r="AK92">
        <f t="shared" si="108"/>
        <v>2.0871283207273001</v>
      </c>
      <c r="AL92">
        <f t="shared" si="77"/>
        <v>0.6144839314673094</v>
      </c>
      <c r="AM92">
        <f t="shared" si="109"/>
        <v>0.48074829952683062</v>
      </c>
      <c r="AN92">
        <f t="shared" si="110"/>
        <v>0.6144839314673094</v>
      </c>
      <c r="AO92" s="5">
        <f t="shared" si="78"/>
        <v>1.7771599281349402E-3</v>
      </c>
      <c r="AP92" s="5">
        <f t="shared" si="79"/>
        <v>6.3113732322488894E-9</v>
      </c>
      <c r="AQ92" s="5">
        <f t="shared" si="80"/>
        <v>3.3766156248090103E-2</v>
      </c>
      <c r="AR92">
        <f t="shared" si="81"/>
        <v>10</v>
      </c>
      <c r="AS92" s="5">
        <f t="shared" si="82"/>
        <v>0.154143585092054</v>
      </c>
      <c r="AT92" s="8">
        <f t="shared" si="83"/>
        <v>0.154143585092054</v>
      </c>
      <c r="AU92" s="5">
        <f t="shared" si="84"/>
        <v>3.4254130020456498E-2</v>
      </c>
      <c r="AV92" s="5">
        <f t="shared" si="85"/>
        <v>0.15236642516391907</v>
      </c>
      <c r="AW92" s="8">
        <f t="shared" si="86"/>
        <v>0.15414357878068077</v>
      </c>
      <c r="AX92" s="5">
        <f t="shared" si="87"/>
        <v>4.8797377236639572E-4</v>
      </c>
      <c r="AY92" s="5">
        <f t="shared" si="88"/>
        <v>0.14821846295732227</v>
      </c>
      <c r="AZ92">
        <f t="shared" si="89"/>
        <v>7.3168701862304482E-3</v>
      </c>
      <c r="BA92">
        <f t="shared" si="90"/>
        <v>4.8410154855851352E-4</v>
      </c>
      <c r="BB92" s="5">
        <f t="shared" si="91"/>
        <v>94.999999999882448</v>
      </c>
      <c r="BC92" s="5">
        <f t="shared" si="92"/>
        <v>0.15601943469211124</v>
      </c>
      <c r="BD92" s="5">
        <f t="shared" si="93"/>
        <v>0.30447994842371279</v>
      </c>
      <c r="BE92" s="16">
        <f t="shared" si="94"/>
        <v>0.31252297093278097</v>
      </c>
      <c r="BF92">
        <f t="shared" si="95"/>
        <v>4.1479622080218435E-3</v>
      </c>
      <c r="BG92">
        <f t="shared" si="96"/>
        <v>0.14682670973671727</v>
      </c>
      <c r="BH92">
        <f t="shared" si="97"/>
        <v>3.8722238082473869E-6</v>
      </c>
      <c r="BI92">
        <f t="shared" si="98"/>
        <v>0.30196096056090299</v>
      </c>
      <c r="BJ92">
        <f t="shared" si="99"/>
        <v>1.7851673601663971</v>
      </c>
      <c r="BK92">
        <f t="shared" si="100"/>
        <v>0.30196096056090299</v>
      </c>
      <c r="BL92">
        <f t="shared" si="111"/>
        <v>0.78270926008773367</v>
      </c>
      <c r="BM92">
        <f t="shared" si="112"/>
        <v>0.15512844248847332</v>
      </c>
      <c r="BN92">
        <f t="shared" si="113"/>
        <v>0.30196096056090299</v>
      </c>
      <c r="BO92" s="5">
        <f t="shared" si="101"/>
        <v>0.78270926008773367</v>
      </c>
      <c r="BP92" s="5">
        <f t="shared" si="102"/>
        <v>0.31252297093278097</v>
      </c>
      <c r="BQ92" s="4">
        <f t="shared" si="114"/>
        <v>2.19046446198828</v>
      </c>
      <c r="BR92" s="5">
        <f t="shared" si="115"/>
        <v>0.13675067888461967</v>
      </c>
      <c r="BS92">
        <f t="shared" si="104"/>
        <v>6.2686958202887268</v>
      </c>
      <c r="BT92">
        <f t="shared" si="105"/>
        <v>5.9667348597278238</v>
      </c>
      <c r="BU92">
        <f t="shared" si="116"/>
        <v>5.4859865602009936</v>
      </c>
      <c r="BV92">
        <f t="shared" si="117"/>
        <v>1.7851673601663971</v>
      </c>
      <c r="BW92">
        <f t="shared" si="118"/>
        <v>0.30196096056090299</v>
      </c>
      <c r="BX92" s="4">
        <f t="shared" si="119"/>
        <v>4.1742566414546003</v>
      </c>
      <c r="BY92">
        <f t="shared" si="120"/>
        <v>0.14079549489660784</v>
      </c>
      <c r="BZ92">
        <f t="shared" si="121"/>
        <v>26.463015435098605</v>
      </c>
      <c r="CA92">
        <f t="shared" si="122"/>
        <v>24.677848074932207</v>
      </c>
    </row>
    <row r="93" spans="1:79" x14ac:dyDescent="0.25">
      <c r="A93">
        <v>12</v>
      </c>
      <c r="B93">
        <v>1.54143585092054E-3</v>
      </c>
      <c r="C93">
        <v>1.54143585092054E-3</v>
      </c>
      <c r="D93">
        <v>3.4254130020456501E-4</v>
      </c>
      <c r="E93">
        <v>0</v>
      </c>
      <c r="F93">
        <v>0</v>
      </c>
      <c r="G93">
        <v>0</v>
      </c>
      <c r="H93" s="5">
        <v>1.7771599281349402E-5</v>
      </c>
      <c r="I93" s="5">
        <v>6.3113732322488897E-11</v>
      </c>
      <c r="J93">
        <v>3.37661562480901E-4</v>
      </c>
      <c r="K93">
        <v>0.13911791568267901</v>
      </c>
      <c r="L93">
        <v>0.140740543921716</v>
      </c>
      <c r="M93">
        <v>4.45543656000266E-4</v>
      </c>
      <c r="N93" t="s">
        <v>52</v>
      </c>
      <c r="O93">
        <v>0.1</v>
      </c>
      <c r="P93">
        <v>5</v>
      </c>
      <c r="Q93">
        <v>1.6497575706444501E-3</v>
      </c>
      <c r="R93">
        <v>1.66899983148883E-3</v>
      </c>
      <c r="S93">
        <v>5.28356837386519E-6</v>
      </c>
      <c r="T93">
        <v>0</v>
      </c>
      <c r="U93">
        <v>0</v>
      </c>
      <c r="V93">
        <v>0</v>
      </c>
      <c r="W93">
        <v>1.61044680899333E-3</v>
      </c>
      <c r="X93">
        <v>7.9513667548027593E-5</v>
      </c>
      <c r="Y93">
        <v>5.2466908500710802E-6</v>
      </c>
      <c r="Z93">
        <v>1.8118119800337601E-3</v>
      </c>
      <c r="AA93">
        <v>7.3258567195411697E-2</v>
      </c>
      <c r="AB93">
        <v>1.6996653485653601E-6</v>
      </c>
      <c r="AC93">
        <v>0.1</v>
      </c>
      <c r="AD93">
        <v>100</v>
      </c>
      <c r="AE93">
        <v>10.952322309941399</v>
      </c>
      <c r="AF93">
        <v>92.356857683566091</v>
      </c>
      <c r="AG93">
        <v>20.038604773893702</v>
      </c>
      <c r="AH93">
        <f t="shared" si="76"/>
        <v>1.09523223099414</v>
      </c>
      <c r="AI93">
        <f t="shared" si="106"/>
        <v>2.0038604773893702</v>
      </c>
      <c r="AJ93">
        <f t="shared" si="107"/>
        <v>1.09523223099414</v>
      </c>
      <c r="AK93">
        <f t="shared" si="108"/>
        <v>2.0038604773893702</v>
      </c>
      <c r="AL93">
        <f t="shared" si="77"/>
        <v>0.6144839314673094</v>
      </c>
      <c r="AM93">
        <f t="shared" si="109"/>
        <v>0.48074829952683062</v>
      </c>
      <c r="AN93">
        <f t="shared" si="110"/>
        <v>0.6144839314673094</v>
      </c>
      <c r="AO93" s="5">
        <f t="shared" si="78"/>
        <v>1.7771599281349402E-3</v>
      </c>
      <c r="AP93" s="5">
        <f t="shared" si="79"/>
        <v>6.3113732322488894E-9</v>
      </c>
      <c r="AQ93" s="5">
        <f t="shared" si="80"/>
        <v>3.3766156248090103E-2</v>
      </c>
      <c r="AR93">
        <f t="shared" si="81"/>
        <v>10</v>
      </c>
      <c r="AS93" s="5">
        <f t="shared" si="82"/>
        <v>0.154143585092054</v>
      </c>
      <c r="AT93" s="8">
        <f t="shared" si="83"/>
        <v>0.154143585092054</v>
      </c>
      <c r="AU93" s="5">
        <f t="shared" si="84"/>
        <v>3.4254130020456498E-2</v>
      </c>
      <c r="AV93" s="5">
        <f t="shared" si="85"/>
        <v>0.15236642516391907</v>
      </c>
      <c r="AW93" s="8">
        <f t="shared" si="86"/>
        <v>0.15414357878068077</v>
      </c>
      <c r="AX93" s="5">
        <f t="shared" si="87"/>
        <v>4.8797377236639572E-4</v>
      </c>
      <c r="AY93" s="5">
        <f t="shared" si="88"/>
        <v>0.14873580674515011</v>
      </c>
      <c r="AZ93">
        <f t="shared" si="89"/>
        <v>7.3436324776315716E-3</v>
      </c>
      <c r="BA93">
        <f t="shared" si="90"/>
        <v>4.8456788014968315E-4</v>
      </c>
      <c r="BB93" s="5">
        <f t="shared" si="91"/>
        <v>94.999999998317179</v>
      </c>
      <c r="BC93" s="5">
        <f t="shared" si="92"/>
        <v>0.15656400710293136</v>
      </c>
      <c r="BD93" s="5">
        <f t="shared" si="93"/>
        <v>0.30554209778815633</v>
      </c>
      <c r="BE93" s="16">
        <f t="shared" si="94"/>
        <v>0.31361258208601239</v>
      </c>
      <c r="BF93">
        <f t="shared" si="95"/>
        <v>3.6306184192502304E-3</v>
      </c>
      <c r="BG93">
        <f t="shared" si="96"/>
        <v>0.14679994743305894</v>
      </c>
      <c r="BH93">
        <f t="shared" si="97"/>
        <v>3.405892216778353E-6</v>
      </c>
      <c r="BI93">
        <f t="shared" si="98"/>
        <v>0.30087134938126864</v>
      </c>
      <c r="BJ93">
        <f t="shared" si="99"/>
        <v>1.7029891280081015</v>
      </c>
      <c r="BK93">
        <f t="shared" si="100"/>
        <v>0.30087134938126864</v>
      </c>
      <c r="BL93">
        <f t="shared" si="111"/>
        <v>0.78161964890809932</v>
      </c>
      <c r="BM93">
        <f t="shared" si="112"/>
        <v>0.15406629310988457</v>
      </c>
      <c r="BN93">
        <f t="shared" si="113"/>
        <v>0.30087134938126864</v>
      </c>
      <c r="BO93" s="5">
        <f t="shared" si="101"/>
        <v>0.78161964890809932</v>
      </c>
      <c r="BP93" s="5">
        <f t="shared" si="102"/>
        <v>0.31361258208601239</v>
      </c>
      <c r="BQ93" s="4">
        <f t="shared" si="114"/>
        <v>2.19046446198828</v>
      </c>
      <c r="BR93" s="5">
        <f t="shared" si="115"/>
        <v>0.13716774759734818</v>
      </c>
      <c r="BS93">
        <f t="shared" si="104"/>
        <v>6.2409352552423476</v>
      </c>
      <c r="BT93">
        <f t="shared" si="105"/>
        <v>5.9400639058610789</v>
      </c>
      <c r="BU93">
        <f t="shared" si="116"/>
        <v>5.4593156063342487</v>
      </c>
      <c r="BV93">
        <f t="shared" si="117"/>
        <v>1.7029891280081015</v>
      </c>
      <c r="BW93">
        <f t="shared" si="118"/>
        <v>0.30087134938126864</v>
      </c>
      <c r="BX93" s="4">
        <f t="shared" si="119"/>
        <v>4.0077209547787405</v>
      </c>
      <c r="BY93">
        <f t="shared" si="120"/>
        <v>0.13993066951863145</v>
      </c>
      <c r="BZ93">
        <f t="shared" si="121"/>
        <v>24.387452863468564</v>
      </c>
      <c r="CA93">
        <f t="shared" si="122"/>
        <v>22.684463735460461</v>
      </c>
    </row>
    <row r="94" spans="1:79" x14ac:dyDescent="0.25">
      <c r="A94">
        <v>12</v>
      </c>
      <c r="B94">
        <v>1.54143585092054E-3</v>
      </c>
      <c r="C94">
        <v>1.54143585092054E-3</v>
      </c>
      <c r="D94">
        <v>3.4254130020456501E-4</v>
      </c>
      <c r="E94">
        <v>0</v>
      </c>
      <c r="F94">
        <v>0</v>
      </c>
      <c r="G94">
        <v>0</v>
      </c>
      <c r="H94" s="5">
        <v>1.7771599281349402E-5</v>
      </c>
      <c r="I94" s="5">
        <v>6.3113732322488897E-11</v>
      </c>
      <c r="J94">
        <v>3.37661562480901E-4</v>
      </c>
      <c r="K94">
        <v>0.13911791568267901</v>
      </c>
      <c r="L94">
        <v>0.140740543921716</v>
      </c>
      <c r="M94">
        <v>4.45543656000266E-4</v>
      </c>
      <c r="N94" t="s">
        <v>52</v>
      </c>
      <c r="O94">
        <v>0.1</v>
      </c>
      <c r="P94">
        <v>6</v>
      </c>
      <c r="Q94">
        <v>1.6497575706444501E-3</v>
      </c>
      <c r="R94">
        <v>1.66899983148883E-3</v>
      </c>
      <c r="S94">
        <v>5.28356837386519E-6</v>
      </c>
      <c r="T94">
        <v>0</v>
      </c>
      <c r="U94">
        <v>0</v>
      </c>
      <c r="V94">
        <v>0</v>
      </c>
      <c r="W94">
        <v>1.6121282837362799E-3</v>
      </c>
      <c r="X94">
        <v>7.9600650767137996E-5</v>
      </c>
      <c r="Y94">
        <v>5.2482064740735796E-6</v>
      </c>
      <c r="Z94">
        <v>1.7562196007610399E-3</v>
      </c>
      <c r="AA94">
        <v>7.4179827043465804E-2</v>
      </c>
      <c r="AB94">
        <v>1.6503969816312101E-6</v>
      </c>
      <c r="AC94">
        <v>0.1</v>
      </c>
      <c r="AD94">
        <v>100</v>
      </c>
      <c r="AE94">
        <v>10.952322309941399</v>
      </c>
      <c r="AF94">
        <v>92.356857683566091</v>
      </c>
      <c r="AG94">
        <v>19.788656806963402</v>
      </c>
      <c r="AH94">
        <f t="shared" si="76"/>
        <v>1.09523223099414</v>
      </c>
      <c r="AI94">
        <f t="shared" si="106"/>
        <v>1.9788656806963403</v>
      </c>
      <c r="AJ94">
        <f t="shared" si="107"/>
        <v>1.09523223099414</v>
      </c>
      <c r="AK94">
        <f t="shared" si="108"/>
        <v>1.9788656806963403</v>
      </c>
      <c r="AL94">
        <f t="shared" si="77"/>
        <v>0.6144839314673094</v>
      </c>
      <c r="AM94">
        <f t="shared" si="109"/>
        <v>0.48074829952683062</v>
      </c>
      <c r="AN94">
        <f t="shared" si="110"/>
        <v>0.6144839314673094</v>
      </c>
      <c r="AO94" s="5">
        <f t="shared" si="78"/>
        <v>1.7771599281349402E-3</v>
      </c>
      <c r="AP94" s="5">
        <f t="shared" si="79"/>
        <v>6.3113732322488894E-9</v>
      </c>
      <c r="AQ94" s="5">
        <f t="shared" si="80"/>
        <v>3.3766156248090103E-2</v>
      </c>
      <c r="AR94">
        <f t="shared" si="81"/>
        <v>10</v>
      </c>
      <c r="AS94" s="5">
        <f t="shared" si="82"/>
        <v>0.154143585092054</v>
      </c>
      <c r="AT94" s="8">
        <f t="shared" si="83"/>
        <v>0.154143585092054</v>
      </c>
      <c r="AU94" s="5">
        <f t="shared" si="84"/>
        <v>3.4254130020456498E-2</v>
      </c>
      <c r="AV94" s="5">
        <f t="shared" si="85"/>
        <v>0.15236642516391907</v>
      </c>
      <c r="AW94" s="8">
        <f t="shared" si="86"/>
        <v>0.15414357878068077</v>
      </c>
      <c r="AX94" s="5">
        <f t="shared" si="87"/>
        <v>4.8797377236639572E-4</v>
      </c>
      <c r="AY94" s="5">
        <f t="shared" si="88"/>
        <v>0.14889110246868326</v>
      </c>
      <c r="AZ94">
        <f t="shared" si="89"/>
        <v>7.3516659744198099E-3</v>
      </c>
      <c r="BA94">
        <f t="shared" si="90"/>
        <v>4.8470785841998377E-4</v>
      </c>
      <c r="BB94" s="5">
        <f t="shared" si="91"/>
        <v>94.99999998866592</v>
      </c>
      <c r="BC94" s="5">
        <f t="shared" si="92"/>
        <v>0.15672747630152303</v>
      </c>
      <c r="BD94" s="5">
        <f t="shared" si="93"/>
        <v>0.30586093269941633</v>
      </c>
      <c r="BE94" s="16">
        <f t="shared" si="94"/>
        <v>0.31393966046146604</v>
      </c>
      <c r="BF94">
        <f t="shared" si="95"/>
        <v>3.4753226957122503E-3</v>
      </c>
      <c r="BG94">
        <f t="shared" si="96"/>
        <v>0.14679191393630475</v>
      </c>
      <c r="BH94">
        <f t="shared" si="97"/>
        <v>3.2659139464748301E-6</v>
      </c>
      <c r="BI94">
        <f t="shared" si="98"/>
        <v>0.30054427100587339</v>
      </c>
      <c r="BJ94">
        <f t="shared" si="99"/>
        <v>1.6783214096904668</v>
      </c>
      <c r="BK94">
        <f t="shared" si="100"/>
        <v>0.30054427100587339</v>
      </c>
      <c r="BL94">
        <f t="shared" si="111"/>
        <v>0.78129257053270407</v>
      </c>
      <c r="BM94">
        <f t="shared" si="112"/>
        <v>0.15374745819864896</v>
      </c>
      <c r="BN94">
        <f t="shared" si="113"/>
        <v>0.30054427100587339</v>
      </c>
      <c r="BO94" s="5">
        <f t="shared" si="101"/>
        <v>0.78129257053270407</v>
      </c>
      <c r="BP94" s="5">
        <f t="shared" si="102"/>
        <v>0.31393966046146604</v>
      </c>
      <c r="BQ94" s="4">
        <f t="shared" si="114"/>
        <v>2.19046446198828</v>
      </c>
      <c r="BR94" s="5">
        <f t="shared" si="115"/>
        <v>0.13729287204192173</v>
      </c>
      <c r="BS94">
        <f t="shared" si="104"/>
        <v>6.2326382452134661</v>
      </c>
      <c r="BT94">
        <f t="shared" si="105"/>
        <v>5.9320939742075929</v>
      </c>
      <c r="BU94">
        <f t="shared" si="116"/>
        <v>5.4513456746807627</v>
      </c>
      <c r="BV94">
        <f t="shared" si="117"/>
        <v>1.6783214096904668</v>
      </c>
      <c r="BW94">
        <f t="shared" si="118"/>
        <v>0.30054427100587339</v>
      </c>
      <c r="BX94" s="4">
        <f t="shared" si="119"/>
        <v>3.9577313613926806</v>
      </c>
      <c r="BY94">
        <f t="shared" si="120"/>
        <v>0.1396660983846239</v>
      </c>
      <c r="BZ94">
        <f t="shared" si="121"/>
        <v>23.779375791455493</v>
      </c>
      <c r="CA94">
        <f t="shared" si="122"/>
        <v>22.101054381765024</v>
      </c>
    </row>
    <row r="95" spans="1:79" x14ac:dyDescent="0.25">
      <c r="A95">
        <v>12</v>
      </c>
      <c r="B95">
        <v>1.54143585092054E-3</v>
      </c>
      <c r="C95">
        <v>1.54143585092054E-3</v>
      </c>
      <c r="D95">
        <v>3.4254130020456501E-4</v>
      </c>
      <c r="E95">
        <v>0</v>
      </c>
      <c r="F95">
        <v>0</v>
      </c>
      <c r="G95">
        <v>0</v>
      </c>
      <c r="H95" s="5">
        <v>1.7771599281349402E-5</v>
      </c>
      <c r="I95" s="5">
        <v>6.3113732322488897E-11</v>
      </c>
      <c r="J95">
        <v>3.37661562480901E-4</v>
      </c>
      <c r="K95">
        <v>0.13911791568267901</v>
      </c>
      <c r="L95">
        <v>0.140740543921716</v>
      </c>
      <c r="M95">
        <v>4.45543656000266E-4</v>
      </c>
      <c r="N95" t="s">
        <v>52</v>
      </c>
      <c r="O95">
        <v>0.1</v>
      </c>
      <c r="P95">
        <v>7</v>
      </c>
      <c r="Q95">
        <v>1.6497575706444501E-3</v>
      </c>
      <c r="R95">
        <v>1.66899983148883E-3</v>
      </c>
      <c r="S95">
        <v>5.28356837386519E-6</v>
      </c>
      <c r="T95">
        <v>0</v>
      </c>
      <c r="U95">
        <v>0</v>
      </c>
      <c r="V95">
        <v>0</v>
      </c>
      <c r="W95">
        <v>1.61261707866804E-3</v>
      </c>
      <c r="X95">
        <v>7.9625936031329294E-5</v>
      </c>
      <c r="Y95">
        <v>5.2486470564610397E-6</v>
      </c>
      <c r="Z95">
        <v>1.7397947866492501E-3</v>
      </c>
      <c r="AA95">
        <v>7.4452013697398206E-2</v>
      </c>
      <c r="AB95">
        <v>1.6358406345626599E-6</v>
      </c>
      <c r="AC95">
        <v>0.1</v>
      </c>
      <c r="AD95">
        <v>100</v>
      </c>
      <c r="AE95">
        <v>10.952322309941399</v>
      </c>
      <c r="AF95">
        <v>92.356857683566091</v>
      </c>
      <c r="AG95">
        <v>19.7159984504273</v>
      </c>
      <c r="AH95">
        <f t="shared" si="76"/>
        <v>1.09523223099414</v>
      </c>
      <c r="AI95">
        <f t="shared" si="106"/>
        <v>1.9715998450427301</v>
      </c>
      <c r="AJ95">
        <f t="shared" si="107"/>
        <v>1.09523223099414</v>
      </c>
      <c r="AK95">
        <f t="shared" si="108"/>
        <v>1.9715998450427301</v>
      </c>
      <c r="AL95">
        <f t="shared" si="77"/>
        <v>0.6144839314673094</v>
      </c>
      <c r="AM95">
        <f t="shared" si="109"/>
        <v>0.48074829952683062</v>
      </c>
      <c r="AN95">
        <f t="shared" si="110"/>
        <v>0.6144839314673094</v>
      </c>
      <c r="AO95" s="5">
        <f t="shared" si="78"/>
        <v>1.7771599281349402E-3</v>
      </c>
      <c r="AP95" s="5">
        <f t="shared" si="79"/>
        <v>6.3113732322488894E-9</v>
      </c>
      <c r="AQ95" s="5">
        <f t="shared" si="80"/>
        <v>3.3766156248090103E-2</v>
      </c>
      <c r="AR95">
        <f t="shared" si="81"/>
        <v>10</v>
      </c>
      <c r="AS95" s="5">
        <f t="shared" si="82"/>
        <v>0.154143585092054</v>
      </c>
      <c r="AT95" s="8">
        <f t="shared" si="83"/>
        <v>0.154143585092054</v>
      </c>
      <c r="AU95" s="5">
        <f t="shared" si="84"/>
        <v>3.4254130020456498E-2</v>
      </c>
      <c r="AV95" s="5">
        <f t="shared" si="85"/>
        <v>0.15236642516391907</v>
      </c>
      <c r="AW95" s="8">
        <f t="shared" si="86"/>
        <v>0.15414357878068077</v>
      </c>
      <c r="AX95" s="5">
        <f t="shared" si="87"/>
        <v>4.8797377236639572E-4</v>
      </c>
      <c r="AY95" s="5">
        <f t="shared" si="88"/>
        <v>0.14893624603263228</v>
      </c>
      <c r="AZ95">
        <f t="shared" si="89"/>
        <v>7.3540012419662168E-3</v>
      </c>
      <c r="BA95">
        <f t="shared" si="90"/>
        <v>4.8474854922484032E-4</v>
      </c>
      <c r="BB95" s="5">
        <f t="shared" si="91"/>
        <v>95.000000000000057</v>
      </c>
      <c r="BC95" s="5">
        <f t="shared" si="92"/>
        <v>0.15677499582382334</v>
      </c>
      <c r="BD95" s="5">
        <f t="shared" si="93"/>
        <v>0.30595361613106803</v>
      </c>
      <c r="BE95" s="16">
        <f t="shared" si="94"/>
        <v>0.31403474019687155</v>
      </c>
      <c r="BF95">
        <f t="shared" si="95"/>
        <v>3.430179131763811E-3</v>
      </c>
      <c r="BG95">
        <f t="shared" si="96"/>
        <v>0.14678957866890952</v>
      </c>
      <c r="BH95">
        <f t="shared" si="97"/>
        <v>3.2252231416183417E-6</v>
      </c>
      <c r="BI95">
        <f t="shared" si="98"/>
        <v>0.30044919127077147</v>
      </c>
      <c r="BJ95">
        <f t="shared" si="99"/>
        <v>1.6711506537719587</v>
      </c>
      <c r="BK95">
        <f t="shared" si="100"/>
        <v>0.30044919127077147</v>
      </c>
      <c r="BL95">
        <f t="shared" si="111"/>
        <v>0.78119749079760203</v>
      </c>
      <c r="BM95">
        <f t="shared" si="112"/>
        <v>0.15365477476714956</v>
      </c>
      <c r="BN95">
        <f t="shared" si="113"/>
        <v>0.30044919127077147</v>
      </c>
      <c r="BO95" s="5">
        <f t="shared" si="101"/>
        <v>0.78119749079760203</v>
      </c>
      <c r="BP95" s="5">
        <f t="shared" si="102"/>
        <v>0.31403474019687155</v>
      </c>
      <c r="BQ95" s="4">
        <f t="shared" si="114"/>
        <v>2.19046446198828</v>
      </c>
      <c r="BR95" s="5">
        <f t="shared" si="115"/>
        <v>0.13732923884160136</v>
      </c>
      <c r="BS95">
        <f t="shared" si="104"/>
        <v>6.2302294683227775</v>
      </c>
      <c r="BT95">
        <f t="shared" si="105"/>
        <v>5.9297802770520063</v>
      </c>
      <c r="BU95">
        <f t="shared" si="116"/>
        <v>5.4490319775251752</v>
      </c>
      <c r="BV95">
        <f t="shared" si="117"/>
        <v>1.6711506537719587</v>
      </c>
      <c r="BW95">
        <f t="shared" si="118"/>
        <v>0.30044919127077147</v>
      </c>
      <c r="BX95" s="4">
        <f t="shared" si="119"/>
        <v>3.9431996900854602</v>
      </c>
      <c r="BY95">
        <f t="shared" si="120"/>
        <v>0.13958873495758017</v>
      </c>
      <c r="BZ95">
        <f t="shared" si="121"/>
        <v>23.603913102451461</v>
      </c>
      <c r="CA95">
        <f t="shared" si="122"/>
        <v>21.932762448679501</v>
      </c>
    </row>
    <row r="96" spans="1:79" x14ac:dyDescent="0.25">
      <c r="A96">
        <v>12</v>
      </c>
      <c r="B96">
        <v>1.54143585092054E-3</v>
      </c>
      <c r="C96">
        <v>1.54143585092054E-3</v>
      </c>
      <c r="D96">
        <v>3.4254130020456501E-4</v>
      </c>
      <c r="E96">
        <v>0</v>
      </c>
      <c r="F96">
        <v>0</v>
      </c>
      <c r="G96">
        <v>0</v>
      </c>
      <c r="H96" s="5">
        <v>1.7771599281349402E-5</v>
      </c>
      <c r="I96" s="5">
        <v>6.3113732322488897E-11</v>
      </c>
      <c r="J96">
        <v>3.37661562480901E-4</v>
      </c>
      <c r="K96">
        <v>0.13911791568267901</v>
      </c>
      <c r="L96">
        <v>0.140740543921716</v>
      </c>
      <c r="M96">
        <v>4.45543656000266E-4</v>
      </c>
      <c r="N96" t="s">
        <v>52</v>
      </c>
      <c r="O96">
        <v>0.1</v>
      </c>
      <c r="P96">
        <v>8</v>
      </c>
      <c r="Q96">
        <v>1.6497575706444501E-3</v>
      </c>
      <c r="R96">
        <v>1.66899983148883E-3</v>
      </c>
      <c r="S96">
        <v>5.28356837386519E-6</v>
      </c>
      <c r="T96">
        <v>0</v>
      </c>
      <c r="U96">
        <v>0</v>
      </c>
      <c r="V96">
        <v>0</v>
      </c>
      <c r="W96">
        <v>1.6127563603415801E-3</v>
      </c>
      <c r="X96">
        <v>7.96331411021806E-5</v>
      </c>
      <c r="Y96">
        <v>5.2487726000077404E-6</v>
      </c>
      <c r="Z96">
        <v>1.73509236363433E-3</v>
      </c>
      <c r="AA96">
        <v>7.4529940711020898E-2</v>
      </c>
      <c r="AB96">
        <v>1.63167315397143E-6</v>
      </c>
      <c r="AC96">
        <v>0.1</v>
      </c>
      <c r="AD96">
        <v>100</v>
      </c>
      <c r="AE96">
        <v>10.952322309941399</v>
      </c>
      <c r="AF96">
        <v>92.356857683566091</v>
      </c>
      <c r="AG96">
        <v>19.695294528304</v>
      </c>
      <c r="AH96">
        <f t="shared" si="76"/>
        <v>1.09523223099414</v>
      </c>
      <c r="AI96">
        <f t="shared" si="106"/>
        <v>1.9695294528304002</v>
      </c>
      <c r="AJ96">
        <f t="shared" si="107"/>
        <v>1.09523223099414</v>
      </c>
      <c r="AK96">
        <f t="shared" si="108"/>
        <v>1.9695294528304002</v>
      </c>
      <c r="AL96">
        <f t="shared" si="77"/>
        <v>0.6144839314673094</v>
      </c>
      <c r="AM96">
        <f t="shared" si="109"/>
        <v>0.48074829952683062</v>
      </c>
      <c r="AN96">
        <f t="shared" si="110"/>
        <v>0.6144839314673094</v>
      </c>
      <c r="AO96" s="5">
        <f t="shared" si="78"/>
        <v>1.7771599281349402E-3</v>
      </c>
      <c r="AP96" s="5">
        <f t="shared" si="79"/>
        <v>6.3113732322488894E-9</v>
      </c>
      <c r="AQ96" s="5">
        <f t="shared" si="80"/>
        <v>3.3766156248090103E-2</v>
      </c>
      <c r="AR96">
        <f t="shared" si="81"/>
        <v>10</v>
      </c>
      <c r="AS96" s="5">
        <f t="shared" si="82"/>
        <v>0.154143585092054</v>
      </c>
      <c r="AT96" s="8">
        <f t="shared" si="83"/>
        <v>0.154143585092054</v>
      </c>
      <c r="AU96" s="5">
        <f t="shared" si="84"/>
        <v>3.4254130020456498E-2</v>
      </c>
      <c r="AV96" s="5">
        <f t="shared" si="85"/>
        <v>0.15236642516391907</v>
      </c>
      <c r="AW96" s="8">
        <f t="shared" si="86"/>
        <v>0.15414357878068077</v>
      </c>
      <c r="AX96" s="5">
        <f t="shared" si="87"/>
        <v>4.8797377236639572E-4</v>
      </c>
      <c r="AY96" s="5">
        <f t="shared" si="88"/>
        <v>0.14894910965033334</v>
      </c>
      <c r="AZ96">
        <f t="shared" si="89"/>
        <v>7.3546666796694311E-3</v>
      </c>
      <c r="BA96">
        <f t="shared" si="90"/>
        <v>4.8476014403231606E-4</v>
      </c>
      <c r="BB96" s="5">
        <f t="shared" si="91"/>
        <v>95</v>
      </c>
      <c r="BC96" s="5">
        <f t="shared" si="92"/>
        <v>0.1567885364740351</v>
      </c>
      <c r="BD96" s="5">
        <f t="shared" si="93"/>
        <v>0.30598002619638459</v>
      </c>
      <c r="BE96" s="16">
        <f t="shared" si="94"/>
        <v>0.3140618330921025</v>
      </c>
      <c r="BF96">
        <f t="shared" si="95"/>
        <v>3.4173155135589278E-3</v>
      </c>
      <c r="BG96">
        <f t="shared" si="96"/>
        <v>0.14678891334805916</v>
      </c>
      <c r="BH96">
        <f t="shared" si="97"/>
        <v>3.2136283341394039E-6</v>
      </c>
      <c r="BI96">
        <f t="shared" si="98"/>
        <v>0.3004220986082386</v>
      </c>
      <c r="BJ96">
        <f t="shared" si="99"/>
        <v>1.6691073542221615</v>
      </c>
      <c r="BK96">
        <f t="shared" si="100"/>
        <v>0.3004220986082386</v>
      </c>
      <c r="BL96">
        <f t="shared" si="111"/>
        <v>0.78117039813506928</v>
      </c>
      <c r="BM96">
        <f t="shared" si="112"/>
        <v>0.15362836481767822</v>
      </c>
      <c r="BN96">
        <f t="shared" si="113"/>
        <v>0.3004220986082386</v>
      </c>
      <c r="BO96" s="5">
        <f t="shared" si="101"/>
        <v>0.78117039813506928</v>
      </c>
      <c r="BP96" s="5">
        <f t="shared" si="102"/>
        <v>0.3140618330921025</v>
      </c>
      <c r="BQ96" s="4">
        <f t="shared" si="114"/>
        <v>2.19046446198828</v>
      </c>
      <c r="BR96" s="5">
        <f t="shared" si="115"/>
        <v>0.13733960102684126</v>
      </c>
      <c r="BS96">
        <f t="shared" si="104"/>
        <v>6.2295433475800168</v>
      </c>
      <c r="BT96">
        <f t="shared" si="105"/>
        <v>5.9291212489717786</v>
      </c>
      <c r="BU96">
        <f t="shared" si="116"/>
        <v>5.4483729494449484</v>
      </c>
      <c r="BV96">
        <f t="shared" si="117"/>
        <v>1.6691073542221615</v>
      </c>
      <c r="BW96">
        <f t="shared" si="118"/>
        <v>0.3004220986082386</v>
      </c>
      <c r="BX96" s="4">
        <f t="shared" si="119"/>
        <v>3.9390589056608003</v>
      </c>
      <c r="BY96">
        <f t="shared" si="120"/>
        <v>0.13956665235537774</v>
      </c>
      <c r="BZ96">
        <f t="shared" si="121"/>
        <v>23.554022673738675</v>
      </c>
      <c r="CA96">
        <f t="shared" si="122"/>
        <v>21.884915319516512</v>
      </c>
    </row>
    <row r="97" spans="1:79" x14ac:dyDescent="0.25">
      <c r="A97">
        <v>12</v>
      </c>
      <c r="B97">
        <v>1.54143585092054E-3</v>
      </c>
      <c r="C97">
        <v>1.54143585092054E-3</v>
      </c>
      <c r="D97">
        <v>3.4254130020456501E-4</v>
      </c>
      <c r="E97">
        <v>0</v>
      </c>
      <c r="F97">
        <v>0</v>
      </c>
      <c r="G97">
        <v>0</v>
      </c>
      <c r="H97" s="5">
        <v>1.7771599281349402E-5</v>
      </c>
      <c r="I97" s="5">
        <v>6.3113732322488897E-11</v>
      </c>
      <c r="J97">
        <v>3.37661562480901E-4</v>
      </c>
      <c r="K97">
        <v>0.13911791568267901</v>
      </c>
      <c r="L97">
        <v>0.140740543921716</v>
      </c>
      <c r="M97">
        <v>4.45543656000266E-4</v>
      </c>
      <c r="N97" t="s">
        <v>52</v>
      </c>
      <c r="O97">
        <v>0.1</v>
      </c>
      <c r="P97">
        <v>9</v>
      </c>
      <c r="Q97">
        <v>1.6497575706444501E-3</v>
      </c>
      <c r="R97">
        <v>1.66899983148883E-3</v>
      </c>
      <c r="S97">
        <v>5.28356837386519E-6</v>
      </c>
      <c r="T97">
        <v>0</v>
      </c>
      <c r="U97">
        <v>0</v>
      </c>
      <c r="V97">
        <v>0</v>
      </c>
      <c r="W97">
        <v>1.6127956996690499E-3</v>
      </c>
      <c r="X97">
        <v>7.9635176101710897E-5</v>
      </c>
      <c r="Y97">
        <v>5.24880805907295E-6</v>
      </c>
      <c r="Z97">
        <v>1.7337624010389399E-3</v>
      </c>
      <c r="AA97">
        <v>7.4551980415071106E-2</v>
      </c>
      <c r="AB97">
        <v>1.6304944864730899E-6</v>
      </c>
      <c r="AC97">
        <v>0.1</v>
      </c>
      <c r="AD97">
        <v>100</v>
      </c>
      <c r="AE97">
        <v>10.952322309941399</v>
      </c>
      <c r="AF97">
        <v>92.356857683566091</v>
      </c>
      <c r="AG97">
        <v>19.689446808536701</v>
      </c>
      <c r="AH97">
        <f t="shared" si="76"/>
        <v>1.09523223099414</v>
      </c>
      <c r="AI97">
        <f t="shared" si="106"/>
        <v>1.9689446808536701</v>
      </c>
      <c r="AJ97">
        <f t="shared" si="107"/>
        <v>1.09523223099414</v>
      </c>
      <c r="AK97">
        <f t="shared" si="108"/>
        <v>1.9689446808536701</v>
      </c>
      <c r="AL97">
        <f t="shared" si="77"/>
        <v>0.6144839314673094</v>
      </c>
      <c r="AM97">
        <f t="shared" si="109"/>
        <v>0.48074829952683062</v>
      </c>
      <c r="AN97">
        <f t="shared" si="110"/>
        <v>0.6144839314673094</v>
      </c>
      <c r="AO97" s="5">
        <f t="shared" si="78"/>
        <v>1.7771599281349402E-3</v>
      </c>
      <c r="AP97" s="5">
        <f t="shared" si="79"/>
        <v>6.3113732322488894E-9</v>
      </c>
      <c r="AQ97" s="5">
        <f t="shared" si="80"/>
        <v>3.3766156248090103E-2</v>
      </c>
      <c r="AR97">
        <f t="shared" si="81"/>
        <v>10</v>
      </c>
      <c r="AS97" s="5">
        <f t="shared" si="82"/>
        <v>0.154143585092054</v>
      </c>
      <c r="AT97" s="8">
        <f t="shared" si="83"/>
        <v>0.154143585092054</v>
      </c>
      <c r="AU97" s="5">
        <f t="shared" si="84"/>
        <v>3.4254130020456498E-2</v>
      </c>
      <c r="AV97" s="5">
        <f t="shared" si="85"/>
        <v>0.15236642516391907</v>
      </c>
      <c r="AW97" s="8">
        <f t="shared" si="86"/>
        <v>0.15414357878068077</v>
      </c>
      <c r="AX97" s="5">
        <f t="shared" si="87"/>
        <v>4.8797377236639572E-4</v>
      </c>
      <c r="AY97" s="5">
        <f t="shared" si="88"/>
        <v>0.14895274290700183</v>
      </c>
      <c r="AZ97">
        <f t="shared" si="89"/>
        <v>7.3548546258314371E-3</v>
      </c>
      <c r="BA97">
        <f t="shared" si="90"/>
        <v>4.8476341892015522E-4</v>
      </c>
      <c r="BB97" s="5">
        <f t="shared" si="91"/>
        <v>95.000000001808814</v>
      </c>
      <c r="BC97" s="5">
        <f t="shared" si="92"/>
        <v>0.15679236095175342</v>
      </c>
      <c r="BD97" s="5">
        <f t="shared" si="93"/>
        <v>0.30598748556821537</v>
      </c>
      <c r="BE97" s="16">
        <f t="shared" si="94"/>
        <v>0.31406948532242701</v>
      </c>
      <c r="BF97">
        <f t="shared" si="95"/>
        <v>3.4136822573897084E-3</v>
      </c>
      <c r="BG97">
        <f t="shared" si="96"/>
        <v>0.14678872528536124</v>
      </c>
      <c r="BH97">
        <f t="shared" si="97"/>
        <v>3.2103534463024269E-6</v>
      </c>
      <c r="BI97">
        <f t="shared" si="98"/>
        <v>0.30041444614584084</v>
      </c>
      <c r="BJ97">
        <f t="shared" si="99"/>
        <v>1.6685302347078292</v>
      </c>
      <c r="BK97">
        <f t="shared" si="100"/>
        <v>0.30041444614584084</v>
      </c>
      <c r="BL97">
        <f t="shared" si="111"/>
        <v>0.78116274567267152</v>
      </c>
      <c r="BM97">
        <f t="shared" si="112"/>
        <v>0.15362090533031011</v>
      </c>
      <c r="BN97">
        <f t="shared" si="113"/>
        <v>0.30041444614584084</v>
      </c>
      <c r="BO97" s="5">
        <f t="shared" si="101"/>
        <v>0.78116274567267152</v>
      </c>
      <c r="BP97" s="5">
        <f t="shared" si="102"/>
        <v>0.31406948532242701</v>
      </c>
      <c r="BQ97" s="4">
        <f t="shared" si="114"/>
        <v>2.19046446198828</v>
      </c>
      <c r="BR97" s="5">
        <f t="shared" si="115"/>
        <v>0.13734252772505531</v>
      </c>
      <c r="BS97">
        <f t="shared" si="104"/>
        <v>6.2293495749933667</v>
      </c>
      <c r="BT97">
        <f t="shared" si="105"/>
        <v>5.9289351288475256</v>
      </c>
      <c r="BU97">
        <f t="shared" si="116"/>
        <v>5.4481868293206954</v>
      </c>
      <c r="BV97">
        <f t="shared" si="117"/>
        <v>1.6685302347078292</v>
      </c>
      <c r="BW97">
        <f t="shared" si="118"/>
        <v>0.30041444614584084</v>
      </c>
      <c r="BX97" s="4">
        <f t="shared" si="119"/>
        <v>3.9378893617073403</v>
      </c>
      <c r="BY97">
        <f t="shared" si="120"/>
        <v>0.13956041204371936</v>
      </c>
      <c r="BZ97">
        <f t="shared" si="121"/>
        <v>23.539940032868024</v>
      </c>
      <c r="CA97">
        <f>BZ97-BJ97</f>
        <v>21.871409798160194</v>
      </c>
    </row>
    <row r="98" spans="1:79" x14ac:dyDescent="0.25">
      <c r="A98">
        <v>12</v>
      </c>
      <c r="B98">
        <v>1.54143585092054E-3</v>
      </c>
      <c r="C98">
        <v>1.54143585092054E-3</v>
      </c>
      <c r="D98">
        <v>3.4254130020456501E-4</v>
      </c>
      <c r="E98">
        <v>0</v>
      </c>
      <c r="F98">
        <v>0</v>
      </c>
      <c r="G98">
        <v>0</v>
      </c>
      <c r="H98" s="5">
        <v>1.7771599281349402E-5</v>
      </c>
      <c r="I98" s="5">
        <v>6.3113732322488897E-11</v>
      </c>
      <c r="J98">
        <v>3.37661562480901E-4</v>
      </c>
      <c r="K98">
        <v>0.13911791568267901</v>
      </c>
      <c r="L98">
        <v>0.140740543921716</v>
      </c>
      <c r="M98">
        <v>4.45543656000266E-4</v>
      </c>
      <c r="N98" t="s">
        <v>52</v>
      </c>
      <c r="O98">
        <v>0.1</v>
      </c>
      <c r="P98">
        <v>10</v>
      </c>
      <c r="Q98">
        <v>1.6497575706444501E-3</v>
      </c>
      <c r="R98">
        <v>1.66899983148883E-3</v>
      </c>
      <c r="S98">
        <v>5.28356837386519E-6</v>
      </c>
      <c r="T98">
        <v>0</v>
      </c>
      <c r="U98">
        <v>0</v>
      </c>
      <c r="V98">
        <v>0</v>
      </c>
      <c r="W98">
        <v>1.61280677346842E-3</v>
      </c>
      <c r="X98">
        <v>7.9635748983234095E-5</v>
      </c>
      <c r="Y98">
        <v>5.2488180406069303E-6</v>
      </c>
      <c r="Z98">
        <v>1.73338788049E-3</v>
      </c>
      <c r="AA98">
        <v>7.4558186846967897E-2</v>
      </c>
      <c r="AB98">
        <v>1.6301625709626699E-6</v>
      </c>
      <c r="AC98">
        <v>0.1</v>
      </c>
      <c r="AD98">
        <v>100</v>
      </c>
      <c r="AE98">
        <v>10.952322309941399</v>
      </c>
      <c r="AF98">
        <v>92.356857683566091</v>
      </c>
      <c r="AG98">
        <v>19.687800716022601</v>
      </c>
      <c r="AH98">
        <f t="shared" si="76"/>
        <v>1.09523223099414</v>
      </c>
      <c r="AI98">
        <f t="shared" si="106"/>
        <v>1.9687800716022601</v>
      </c>
      <c r="AJ98">
        <f t="shared" si="107"/>
        <v>1.09523223099414</v>
      </c>
      <c r="AK98">
        <f t="shared" si="108"/>
        <v>1.9687800716022601</v>
      </c>
      <c r="AL98">
        <f t="shared" si="77"/>
        <v>0.6144839314673094</v>
      </c>
      <c r="AM98">
        <f t="shared" si="109"/>
        <v>0.48074829952683062</v>
      </c>
      <c r="AN98">
        <f t="shared" si="110"/>
        <v>0.6144839314673094</v>
      </c>
      <c r="AO98" s="5">
        <f t="shared" si="78"/>
        <v>1.7771599281349402E-3</v>
      </c>
      <c r="AP98" s="5">
        <f t="shared" si="79"/>
        <v>6.3113732322488894E-9</v>
      </c>
      <c r="AQ98" s="5">
        <f t="shared" si="80"/>
        <v>3.3766156248090103E-2</v>
      </c>
      <c r="AR98">
        <f t="shared" si="81"/>
        <v>10</v>
      </c>
      <c r="AS98" s="5">
        <f t="shared" si="82"/>
        <v>0.154143585092054</v>
      </c>
      <c r="AT98" s="8">
        <f t="shared" si="83"/>
        <v>0.154143585092054</v>
      </c>
      <c r="AU98" s="5">
        <f t="shared" si="84"/>
        <v>3.4254130020456498E-2</v>
      </c>
      <c r="AV98" s="5">
        <f t="shared" si="85"/>
        <v>0.15236642516391907</v>
      </c>
      <c r="AW98" s="8">
        <f t="shared" si="86"/>
        <v>0.15414357878068077</v>
      </c>
      <c r="AX98" s="5">
        <f t="shared" si="87"/>
        <v>4.8797377236639572E-4</v>
      </c>
      <c r="AY98" s="5">
        <f t="shared" si="88"/>
        <v>0.14895376564831428</v>
      </c>
      <c r="AZ98">
        <f t="shared" si="89"/>
        <v>7.3549075353687441E-3</v>
      </c>
      <c r="BA98">
        <f t="shared" si="90"/>
        <v>4.8476434078326846E-4</v>
      </c>
      <c r="BB98" s="5">
        <f t="shared" ref="BB98:BB101" si="123">AY98/SUM(AY98:BA98)*100</f>
        <v>95.000000000045475</v>
      </c>
      <c r="BC98" s="5">
        <f t="shared" si="92"/>
        <v>0.15679343752446628</v>
      </c>
      <c r="BD98" s="5">
        <f t="shared" si="93"/>
        <v>0.30598958534317222</v>
      </c>
      <c r="BE98" s="16">
        <f t="shared" si="94"/>
        <v>0.31407163938971583</v>
      </c>
      <c r="BF98">
        <f t="shared" si="95"/>
        <v>3.4126595154655923E-3</v>
      </c>
      <c r="BG98">
        <f t="shared" si="96"/>
        <v>0.14678867243910815</v>
      </c>
      <c r="BH98">
        <f t="shared" si="97"/>
        <v>3.2094315831832099E-6</v>
      </c>
      <c r="BI98">
        <f t="shared" ref="BI98:BI101" si="124">BF98*2+BG98*2+BH98*3</f>
        <v>0.30041229220389704</v>
      </c>
      <c r="BJ98">
        <f t="shared" ref="BJ98:BJ101" si="125">AK98-BI98</f>
        <v>1.6683677793983631</v>
      </c>
      <c r="BK98">
        <f t="shared" si="100"/>
        <v>0.30041229220389704</v>
      </c>
      <c r="BL98">
        <f t="shared" si="111"/>
        <v>0.7811605917307276</v>
      </c>
      <c r="BM98">
        <f t="shared" si="112"/>
        <v>0.15361880561741412</v>
      </c>
      <c r="BN98">
        <f t="shared" si="113"/>
        <v>0.30041229220389704</v>
      </c>
      <c r="BO98" s="5">
        <f t="shared" si="101"/>
        <v>0.7811605917307276</v>
      </c>
      <c r="BP98" s="5">
        <f t="shared" si="102"/>
        <v>0.31407163938971583</v>
      </c>
      <c r="BQ98" s="4">
        <f t="shared" si="114"/>
        <v>2.19046446198828</v>
      </c>
      <c r="BR98" s="5">
        <f t="shared" si="115"/>
        <v>0.13734335157378125</v>
      </c>
      <c r="BS98">
        <f t="shared" ref="BS98:BS101" si="126">BO98/BR98*AJ98</f>
        <v>6.2292950320667115</v>
      </c>
      <c r="BT98">
        <f t="shared" ref="BT98:BT101" si="127">BS98-BK98</f>
        <v>5.9288827398628143</v>
      </c>
      <c r="BU98">
        <f t="shared" si="116"/>
        <v>5.4481344403359842</v>
      </c>
      <c r="BV98">
        <f t="shared" si="117"/>
        <v>1.6683677793983631</v>
      </c>
      <c r="BW98">
        <f t="shared" si="118"/>
        <v>0.30041229220389704</v>
      </c>
      <c r="BX98" s="4">
        <f t="shared" si="119"/>
        <v>3.9375601432045202</v>
      </c>
      <c r="BY98">
        <f t="shared" si="120"/>
        <v>0.13955865526963707</v>
      </c>
      <c r="BZ98">
        <f t="shared" si="121"/>
        <v>23.535976538586169</v>
      </c>
      <c r="CA98">
        <f t="shared" si="122"/>
        <v>21.867608759187807</v>
      </c>
    </row>
    <row r="99" spans="1:79" x14ac:dyDescent="0.25">
      <c r="A99">
        <v>12</v>
      </c>
      <c r="B99">
        <v>1.54143585092054E-3</v>
      </c>
      <c r="C99">
        <v>1.54143585092054E-3</v>
      </c>
      <c r="D99">
        <v>3.4254130020456501E-4</v>
      </c>
      <c r="E99">
        <v>0</v>
      </c>
      <c r="F99">
        <v>0</v>
      </c>
      <c r="G99">
        <v>0</v>
      </c>
      <c r="H99" s="5">
        <v>1.7771599281349402E-5</v>
      </c>
      <c r="I99" s="5">
        <v>6.3113732322488897E-11</v>
      </c>
      <c r="J99">
        <v>3.37661562480901E-4</v>
      </c>
      <c r="K99">
        <v>0.13911791568267901</v>
      </c>
      <c r="L99">
        <v>0.140740543921716</v>
      </c>
      <c r="M99">
        <v>4.45543656000266E-4</v>
      </c>
      <c r="N99" t="s">
        <v>52</v>
      </c>
      <c r="O99">
        <v>0.1</v>
      </c>
      <c r="P99">
        <v>11</v>
      </c>
      <c r="Q99">
        <v>1.6497575706444501E-3</v>
      </c>
      <c r="R99">
        <v>1.66899983148883E-3</v>
      </c>
      <c r="S99">
        <v>5.28356837386519E-6</v>
      </c>
      <c r="T99">
        <v>0</v>
      </c>
      <c r="U99">
        <v>0</v>
      </c>
      <c r="V99">
        <v>0</v>
      </c>
      <c r="W99">
        <v>1.61280988700799E-3</v>
      </c>
      <c r="X99">
        <v>7.9635910048100197E-5</v>
      </c>
      <c r="Y99">
        <v>5.2488208470369598E-6</v>
      </c>
      <c r="Z99">
        <v>1.73328256872752E-3</v>
      </c>
      <c r="AA99">
        <v>7.4559932038912993E-2</v>
      </c>
      <c r="AB99">
        <v>1.6300692393553599E-6</v>
      </c>
      <c r="AC99">
        <v>0.1</v>
      </c>
      <c r="AD99">
        <v>100</v>
      </c>
      <c r="AE99">
        <v>10.952322309941399</v>
      </c>
      <c r="AF99">
        <v>92.356857683566091</v>
      </c>
      <c r="AG99">
        <v>19.687337891228299</v>
      </c>
      <c r="AH99">
        <f t="shared" si="76"/>
        <v>1.09523223099414</v>
      </c>
      <c r="AI99">
        <f t="shared" si="106"/>
        <v>1.96873378912283</v>
      </c>
      <c r="AJ99">
        <f t="shared" si="107"/>
        <v>1.09523223099414</v>
      </c>
      <c r="AK99">
        <f t="shared" si="108"/>
        <v>1.96873378912283</v>
      </c>
      <c r="AL99">
        <f t="shared" si="77"/>
        <v>0.6144839314673094</v>
      </c>
      <c r="AM99">
        <f t="shared" si="109"/>
        <v>0.48074829952683062</v>
      </c>
      <c r="AN99">
        <f t="shared" si="110"/>
        <v>0.6144839314673094</v>
      </c>
      <c r="AO99" s="5">
        <f t="shared" si="78"/>
        <v>1.7771599281349402E-3</v>
      </c>
      <c r="AP99" s="5">
        <f t="shared" si="79"/>
        <v>6.3113732322488894E-9</v>
      </c>
      <c r="AQ99" s="5">
        <f t="shared" si="80"/>
        <v>3.3766156248090103E-2</v>
      </c>
      <c r="AR99">
        <f t="shared" si="81"/>
        <v>10</v>
      </c>
      <c r="AS99" s="5">
        <f t="shared" si="82"/>
        <v>0.154143585092054</v>
      </c>
      <c r="AT99" s="8">
        <f t="shared" si="83"/>
        <v>0.154143585092054</v>
      </c>
      <c r="AU99" s="5">
        <f t="shared" si="84"/>
        <v>3.4254130020456498E-2</v>
      </c>
      <c r="AV99" s="5">
        <f t="shared" si="85"/>
        <v>0.15236642516391907</v>
      </c>
      <c r="AW99" s="8">
        <f t="shared" si="86"/>
        <v>0.15414357878068077</v>
      </c>
      <c r="AX99" s="5">
        <f t="shared" si="87"/>
        <v>4.8797377236639572E-4</v>
      </c>
      <c r="AY99" s="5">
        <f t="shared" si="88"/>
        <v>0.14895405320504523</v>
      </c>
      <c r="AZ99">
        <f t="shared" si="89"/>
        <v>7.3549224108136607E-3</v>
      </c>
      <c r="BA99">
        <f t="shared" si="90"/>
        <v>4.847645999763273E-4</v>
      </c>
      <c r="BB99" s="5">
        <f t="shared" si="123"/>
        <v>95.000000000001151</v>
      </c>
      <c r="BC99" s="5">
        <f t="shared" si="92"/>
        <v>0.1567937402158352</v>
      </c>
      <c r="BD99" s="5">
        <f t="shared" si="93"/>
        <v>0.30599017572086862</v>
      </c>
      <c r="BE99" s="16">
        <f t="shared" si="94"/>
        <v>0.31407224503164677</v>
      </c>
      <c r="BF99">
        <f t="shared" si="95"/>
        <v>3.4123719591514826E-3</v>
      </c>
      <c r="BG99">
        <f t="shared" si="96"/>
        <v>0.14678865751970988</v>
      </c>
      <c r="BH99">
        <f t="shared" si="97"/>
        <v>3.2091723901286471E-6</v>
      </c>
      <c r="BI99">
        <f t="shared" si="124"/>
        <v>0.30041168647489308</v>
      </c>
      <c r="BJ99">
        <f t="shared" si="125"/>
        <v>1.6683221026479369</v>
      </c>
      <c r="BK99">
        <f t="shared" si="100"/>
        <v>0.30041168647489308</v>
      </c>
      <c r="BL99">
        <f t="shared" si="111"/>
        <v>0.78115998600172376</v>
      </c>
      <c r="BM99">
        <f t="shared" si="112"/>
        <v>0.15361821519659802</v>
      </c>
      <c r="BN99">
        <f t="shared" si="113"/>
        <v>0.30041168647489308</v>
      </c>
      <c r="BO99" s="5">
        <f t="shared" si="101"/>
        <v>0.78115998600172376</v>
      </c>
      <c r="BP99" s="5">
        <f t="shared" si="102"/>
        <v>0.31407224503164677</v>
      </c>
      <c r="BQ99" s="4">
        <f t="shared" si="114"/>
        <v>2.19046446198828</v>
      </c>
      <c r="BR99" s="5">
        <f t="shared" si="115"/>
        <v>0.1373435832085059</v>
      </c>
      <c r="BS99">
        <f t="shared" si="126"/>
        <v>6.2292796958207912</v>
      </c>
      <c r="BT99">
        <f t="shared" si="127"/>
        <v>5.9288680093458979</v>
      </c>
      <c r="BU99">
        <f t="shared" si="116"/>
        <v>5.4481197098190677</v>
      </c>
      <c r="BV99">
        <f t="shared" si="117"/>
        <v>1.6683221026479369</v>
      </c>
      <c r="BW99">
        <f t="shared" si="118"/>
        <v>0.30041168647489308</v>
      </c>
      <c r="BX99" s="4">
        <f t="shared" si="119"/>
        <v>3.9374675782456601</v>
      </c>
      <c r="BY99">
        <f t="shared" si="120"/>
        <v>0.13955816125627518</v>
      </c>
      <c r="BZ99">
        <f t="shared" si="121"/>
        <v>23.534862204095962</v>
      </c>
      <c r="CA99">
        <f t="shared" si="122"/>
        <v>21.866540101448024</v>
      </c>
    </row>
    <row r="100" spans="1:79" x14ac:dyDescent="0.25">
      <c r="A100">
        <v>12</v>
      </c>
      <c r="B100">
        <v>1.54143585092054E-3</v>
      </c>
      <c r="C100">
        <v>1.54143585092054E-3</v>
      </c>
      <c r="D100">
        <v>3.4254130020456501E-4</v>
      </c>
      <c r="E100">
        <v>0</v>
      </c>
      <c r="F100">
        <v>0</v>
      </c>
      <c r="G100">
        <v>0</v>
      </c>
      <c r="H100" s="5">
        <v>1.7771599281349402E-5</v>
      </c>
      <c r="I100" s="5">
        <v>6.3113732322488897E-11</v>
      </c>
      <c r="J100">
        <v>3.37661562480901E-4</v>
      </c>
      <c r="K100">
        <v>0.13911791568267901</v>
      </c>
      <c r="L100">
        <v>0.140740543921716</v>
      </c>
      <c r="M100">
        <v>4.45543656000266E-4</v>
      </c>
      <c r="N100" t="s">
        <v>52</v>
      </c>
      <c r="O100">
        <v>0.1</v>
      </c>
      <c r="P100">
        <v>12</v>
      </c>
      <c r="Q100">
        <v>1.6497575706444501E-3</v>
      </c>
      <c r="R100">
        <v>1.66899983148883E-3</v>
      </c>
      <c r="S100">
        <v>5.28356837386519E-6</v>
      </c>
      <c r="T100">
        <v>0</v>
      </c>
      <c r="U100">
        <v>0</v>
      </c>
      <c r="V100">
        <v>0</v>
      </c>
      <c r="W100">
        <v>1.6128107620641699E-3</v>
      </c>
      <c r="X100">
        <v>7.9635955314965296E-5</v>
      </c>
      <c r="Y100">
        <v>5.2488216357800397E-6</v>
      </c>
      <c r="Z100">
        <v>1.7332529701511801E-3</v>
      </c>
      <c r="AA100">
        <v>7.4560422536797497E-2</v>
      </c>
      <c r="AB100">
        <v>1.6300430078820901E-6</v>
      </c>
      <c r="AC100">
        <v>0.1</v>
      </c>
      <c r="AD100">
        <v>100</v>
      </c>
      <c r="AE100">
        <v>10.952322309941399</v>
      </c>
      <c r="AF100">
        <v>92.356857683566091</v>
      </c>
      <c r="AG100">
        <v>19.687207814646801</v>
      </c>
      <c r="AH100">
        <f t="shared" si="76"/>
        <v>1.09523223099414</v>
      </c>
      <c r="AI100">
        <f t="shared" si="106"/>
        <v>1.9687207814646801</v>
      </c>
      <c r="AJ100">
        <f t="shared" si="107"/>
        <v>1.09523223099414</v>
      </c>
      <c r="AK100">
        <f t="shared" si="108"/>
        <v>1.9687207814646801</v>
      </c>
      <c r="AL100">
        <f t="shared" si="77"/>
        <v>0.6144839314673094</v>
      </c>
      <c r="AM100">
        <f t="shared" si="109"/>
        <v>0.48074829952683062</v>
      </c>
      <c r="AN100">
        <f t="shared" si="110"/>
        <v>0.6144839314673094</v>
      </c>
      <c r="AO100" s="5">
        <f t="shared" si="78"/>
        <v>1.7771599281349402E-3</v>
      </c>
      <c r="AP100" s="5">
        <f t="shared" si="79"/>
        <v>6.3113732322488894E-9</v>
      </c>
      <c r="AQ100" s="5">
        <f t="shared" si="80"/>
        <v>3.3766156248090103E-2</v>
      </c>
      <c r="AR100">
        <f t="shared" si="81"/>
        <v>10</v>
      </c>
      <c r="AS100" s="5">
        <f t="shared" si="82"/>
        <v>0.154143585092054</v>
      </c>
      <c r="AT100" s="8">
        <f t="shared" si="83"/>
        <v>0.154143585092054</v>
      </c>
      <c r="AU100" s="5">
        <f t="shared" si="84"/>
        <v>3.4254130020456498E-2</v>
      </c>
      <c r="AV100" s="5">
        <f t="shared" si="85"/>
        <v>0.15236642516391907</v>
      </c>
      <c r="AW100" s="8">
        <f t="shared" si="86"/>
        <v>0.15414357878068077</v>
      </c>
      <c r="AX100" s="5">
        <f t="shared" si="87"/>
        <v>4.8797377236639572E-4</v>
      </c>
      <c r="AY100" s="5">
        <f t="shared" si="88"/>
        <v>0.14895413402248431</v>
      </c>
      <c r="AZ100">
        <f t="shared" si="89"/>
        <v>7.3549265915190789E-3</v>
      </c>
      <c r="BA100">
        <f t="shared" si="90"/>
        <v>4.8476467282215969E-4</v>
      </c>
      <c r="BB100" s="5">
        <f t="shared" si="123"/>
        <v>95.000000000000028</v>
      </c>
      <c r="BC100" s="5">
        <f t="shared" si="92"/>
        <v>0.15679382528682553</v>
      </c>
      <c r="BD100" s="5">
        <f t="shared" si="93"/>
        <v>0.30599034164572098</v>
      </c>
      <c r="BE100" s="16">
        <f t="shared" si="94"/>
        <v>0.31407241524647322</v>
      </c>
      <c r="BF100">
        <f t="shared" si="95"/>
        <v>3.412291141872009E-3</v>
      </c>
      <c r="BG100">
        <f t="shared" si="96"/>
        <v>0.14678865332298072</v>
      </c>
      <c r="BH100">
        <f t="shared" si="97"/>
        <v>3.2090995442986659E-6</v>
      </c>
      <c r="BI100">
        <f t="shared" si="124"/>
        <v>0.30041151622833834</v>
      </c>
      <c r="BJ100">
        <f t="shared" si="125"/>
        <v>1.6683092652363418</v>
      </c>
      <c r="BK100">
        <f t="shared" si="100"/>
        <v>0.30041151622833834</v>
      </c>
      <c r="BL100">
        <f t="shared" si="111"/>
        <v>0.78115981575516891</v>
      </c>
      <c r="BM100">
        <f t="shared" si="112"/>
        <v>0.15361804925604119</v>
      </c>
      <c r="BN100">
        <f t="shared" si="113"/>
        <v>0.30041151622833834</v>
      </c>
      <c r="BO100" s="5">
        <f t="shared" si="101"/>
        <v>0.78115981575516891</v>
      </c>
      <c r="BP100" s="5">
        <f t="shared" si="102"/>
        <v>0.31407241524647322</v>
      </c>
      <c r="BQ100" s="4">
        <f t="shared" si="114"/>
        <v>2.19046446198828</v>
      </c>
      <c r="BR100" s="5">
        <f t="shared" si="115"/>
        <v>0.13734364830910453</v>
      </c>
      <c r="BS100">
        <f t="shared" si="126"/>
        <v>6.2292753855424596</v>
      </c>
      <c r="BT100">
        <f t="shared" si="127"/>
        <v>5.9288638693141209</v>
      </c>
      <c r="BU100">
        <f t="shared" si="116"/>
        <v>5.4481155697872907</v>
      </c>
      <c r="BV100">
        <f t="shared" si="117"/>
        <v>1.6683092652363418</v>
      </c>
      <c r="BW100">
        <f t="shared" si="118"/>
        <v>0.30041151622833834</v>
      </c>
      <c r="BX100" s="4">
        <f t="shared" si="119"/>
        <v>3.9374415629293602</v>
      </c>
      <c r="BY100">
        <f t="shared" si="120"/>
        <v>0.13955802240968523</v>
      </c>
      <c r="BZ100">
        <f t="shared" si="121"/>
        <v>23.534549026061001</v>
      </c>
      <c r="CA100">
        <f t="shared" si="122"/>
        <v>21.866239760824659</v>
      </c>
    </row>
    <row r="101" spans="1:79" x14ac:dyDescent="0.25">
      <c r="A101">
        <v>12</v>
      </c>
      <c r="B101">
        <v>1.54143585092054E-3</v>
      </c>
      <c r="C101">
        <v>1.54143585092054E-3</v>
      </c>
      <c r="D101">
        <v>3.4254130020456501E-4</v>
      </c>
      <c r="E101">
        <v>0</v>
      </c>
      <c r="F101">
        <v>0</v>
      </c>
      <c r="G101">
        <v>0</v>
      </c>
      <c r="H101" s="5">
        <v>1.7771599281349402E-5</v>
      </c>
      <c r="I101" s="5">
        <v>6.3113732322488897E-11</v>
      </c>
      <c r="J101">
        <v>3.37661562480901E-4</v>
      </c>
      <c r="K101">
        <v>0.13911791568267901</v>
      </c>
      <c r="L101">
        <v>0.140740543921716</v>
      </c>
      <c r="M101">
        <v>4.45543656000266E-4</v>
      </c>
      <c r="N101" t="s">
        <v>52</v>
      </c>
      <c r="O101">
        <v>0.1</v>
      </c>
      <c r="P101">
        <v>13</v>
      </c>
      <c r="Q101">
        <v>1.6497575706444501E-3</v>
      </c>
      <c r="R101">
        <v>1.66899983148883E-3</v>
      </c>
      <c r="S101">
        <v>5.28356837386519E-6</v>
      </c>
      <c r="T101">
        <v>0</v>
      </c>
      <c r="U101">
        <v>0</v>
      </c>
      <c r="V101">
        <v>0</v>
      </c>
      <c r="W101">
        <v>1.61281100796467E-3</v>
      </c>
      <c r="X101">
        <v>7.9635968035451799E-5</v>
      </c>
      <c r="Y101">
        <v>5.2488218574256396E-6</v>
      </c>
      <c r="Z101">
        <v>1.73324465254427E-3</v>
      </c>
      <c r="AA101">
        <v>7.4560560373448506E-2</v>
      </c>
      <c r="AB101">
        <v>1.6300356364773401E-6</v>
      </c>
      <c r="AC101">
        <v>0.1</v>
      </c>
      <c r="AD101">
        <v>100</v>
      </c>
      <c r="AE101">
        <v>10.952322309941399</v>
      </c>
      <c r="AF101">
        <v>92.356857683566091</v>
      </c>
      <c r="AG101">
        <v>19.687171261743899</v>
      </c>
      <c r="AH101">
        <f t="shared" si="76"/>
        <v>1.09523223099414</v>
      </c>
      <c r="AI101">
        <f t="shared" si="106"/>
        <v>1.9687171261743899</v>
      </c>
      <c r="AJ101">
        <f t="shared" si="107"/>
        <v>1.09523223099414</v>
      </c>
      <c r="AK101">
        <f t="shared" si="108"/>
        <v>1.9687171261743899</v>
      </c>
      <c r="AL101">
        <f t="shared" si="77"/>
        <v>0.6144839314673094</v>
      </c>
      <c r="AM101">
        <f t="shared" si="109"/>
        <v>0.48074829952683062</v>
      </c>
      <c r="AN101">
        <f t="shared" si="110"/>
        <v>0.6144839314673094</v>
      </c>
      <c r="AO101" s="5">
        <f t="shared" si="78"/>
        <v>1.7771599281349402E-3</v>
      </c>
      <c r="AP101" s="5">
        <f t="shared" si="79"/>
        <v>6.3113732322488894E-9</v>
      </c>
      <c r="AQ101" s="5">
        <f t="shared" si="80"/>
        <v>3.3766156248090103E-2</v>
      </c>
      <c r="AR101">
        <f t="shared" si="81"/>
        <v>10</v>
      </c>
      <c r="AS101" s="5">
        <f t="shared" si="82"/>
        <v>0.154143585092054</v>
      </c>
      <c r="AT101" s="8">
        <f t="shared" si="83"/>
        <v>0.154143585092054</v>
      </c>
      <c r="AU101" s="5">
        <f t="shared" si="84"/>
        <v>3.4254130020456498E-2</v>
      </c>
      <c r="AV101" s="5">
        <f t="shared" si="85"/>
        <v>0.15236642516391907</v>
      </c>
      <c r="AW101" s="8">
        <f t="shared" si="86"/>
        <v>0.15414357878068077</v>
      </c>
      <c r="AX101" s="5">
        <f t="shared" si="87"/>
        <v>4.8797377236639572E-4</v>
      </c>
      <c r="AY101" s="5">
        <f t="shared" si="88"/>
        <v>0.14895415673308179</v>
      </c>
      <c r="AZ101">
        <f t="shared" si="89"/>
        <v>7.3549277663432404E-3</v>
      </c>
      <c r="BA101">
        <f t="shared" si="90"/>
        <v>4.8476469329265082E-4</v>
      </c>
      <c r="BB101" s="5">
        <f t="shared" si="123"/>
        <v>95</v>
      </c>
      <c r="BC101" s="5">
        <f t="shared" si="92"/>
        <v>0.15679384919271769</v>
      </c>
      <c r="BD101" s="5">
        <f t="shared" si="93"/>
        <v>0.30599038827244579</v>
      </c>
      <c r="BE101" s="16">
        <f t="shared" si="94"/>
        <v>0.31407246307872805</v>
      </c>
      <c r="BF101">
        <f t="shared" si="95"/>
        <v>3.4122684313140843E-3</v>
      </c>
      <c r="BG101">
        <f t="shared" si="96"/>
        <v>0.14678865214436765</v>
      </c>
      <c r="BH101">
        <f t="shared" si="97"/>
        <v>3.2090790738075114E-6</v>
      </c>
      <c r="BI101">
        <f t="shared" si="124"/>
        <v>0.3004114683885849</v>
      </c>
      <c r="BJ101">
        <f t="shared" si="125"/>
        <v>1.6683056577858051</v>
      </c>
      <c r="BK101">
        <f t="shared" si="100"/>
        <v>0.3004114683885849</v>
      </c>
      <c r="BL101">
        <f t="shared" si="111"/>
        <v>0.78115976791541553</v>
      </c>
      <c r="BM101">
        <f t="shared" si="112"/>
        <v>0.15361800262560651</v>
      </c>
      <c r="BN101">
        <f t="shared" si="113"/>
        <v>0.3004114683885849</v>
      </c>
      <c r="BO101" s="5">
        <f t="shared" si="101"/>
        <v>0.78115976791541553</v>
      </c>
      <c r="BP101" s="5">
        <f t="shared" si="102"/>
        <v>0.31407246307872805</v>
      </c>
      <c r="BQ101" s="4">
        <f t="shared" si="114"/>
        <v>2.19046446198828</v>
      </c>
      <c r="BR101" s="5">
        <f t="shared" si="115"/>
        <v>0.13734366660309344</v>
      </c>
      <c r="BS101" s="5">
        <f t="shared" si="126"/>
        <v>6.2292741743185358</v>
      </c>
      <c r="BT101" s="5">
        <f t="shared" si="127"/>
        <v>5.9288627059299506</v>
      </c>
      <c r="BU101">
        <f t="shared" si="116"/>
        <v>5.4481144064031195</v>
      </c>
      <c r="BV101">
        <f t="shared" si="117"/>
        <v>1.6683056577858051</v>
      </c>
      <c r="BW101">
        <f t="shared" si="118"/>
        <v>0.3004114683885849</v>
      </c>
      <c r="BX101" s="4">
        <f t="shared" si="119"/>
        <v>3.9374342523487798</v>
      </c>
      <c r="BY101">
        <f t="shared" si="120"/>
        <v>0.13955798339277398</v>
      </c>
      <c r="BZ101">
        <f t="shared" si="121"/>
        <v>23.534461019924755</v>
      </c>
      <c r="CA101">
        <f t="shared" si="122"/>
        <v>21.866155362138951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D9F9-0747-4EF3-97AF-F520098E459F}">
  <dimension ref="A1"/>
  <sheetViews>
    <sheetView zoomScaleNormal="100" workbookViewId="0">
      <selection activeCell="O7" sqref="O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75F84-3208-425A-9811-67BE718E833A}">
  <dimension ref="A1:AN27"/>
  <sheetViews>
    <sheetView topLeftCell="T1" zoomScale="116" workbookViewId="0">
      <selection activeCell="U29" sqref="U29"/>
    </sheetView>
  </sheetViews>
  <sheetFormatPr defaultRowHeight="15" x14ac:dyDescent="0.25"/>
  <cols>
    <col min="1" max="1" width="22.7109375" bestFit="1" customWidth="1"/>
    <col min="2" max="2" width="29.7109375" bestFit="1" customWidth="1"/>
    <col min="3" max="4" width="12.140625" bestFit="1" customWidth="1"/>
    <col min="5" max="5" width="14.140625" bestFit="1" customWidth="1"/>
    <col min="6" max="6" width="14" bestFit="1" customWidth="1"/>
    <col min="7" max="7" width="43.5703125" bestFit="1" customWidth="1"/>
    <col min="8" max="10" width="12.140625" bestFit="1" customWidth="1"/>
    <col min="11" max="11" width="13" bestFit="1" customWidth="1"/>
    <col min="12" max="12" width="16.42578125" bestFit="1" customWidth="1"/>
    <col min="13" max="13" width="12.7109375" bestFit="1" customWidth="1"/>
    <col min="14" max="14" width="12.140625" bestFit="1" customWidth="1"/>
    <col min="15" max="15" width="15.28515625" bestFit="1" customWidth="1"/>
    <col min="16" max="16" width="12" bestFit="1" customWidth="1"/>
    <col min="17" max="17" width="12.140625" bestFit="1" customWidth="1"/>
    <col min="18" max="18" width="16" bestFit="1" customWidth="1"/>
    <col min="19" max="19" width="17.5703125" bestFit="1" customWidth="1"/>
    <col min="20" max="20" width="48.28515625" bestFit="1" customWidth="1"/>
    <col min="21" max="21" width="31.140625" bestFit="1" customWidth="1"/>
    <col min="22" max="22" width="12.7109375" bestFit="1" customWidth="1"/>
    <col min="23" max="23" width="29.7109375" bestFit="1" customWidth="1"/>
    <col min="24" max="25" width="12" bestFit="1" customWidth="1"/>
    <col min="26" max="26" width="13.5703125" bestFit="1" customWidth="1"/>
    <col min="27" max="27" width="13.7109375" bestFit="1" customWidth="1"/>
    <col min="28" max="28" width="43.5703125" bestFit="1" customWidth="1"/>
    <col min="29" max="30" width="12" bestFit="1" customWidth="1"/>
    <col min="31" max="31" width="12.7109375" bestFit="1" customWidth="1"/>
    <col min="32" max="32" width="12" bestFit="1" customWidth="1"/>
    <col min="33" max="33" width="15.28515625" bestFit="1" customWidth="1"/>
    <col min="34" max="35" width="12" bestFit="1" customWidth="1"/>
    <col min="36" max="36" width="16" bestFit="1" customWidth="1"/>
    <col min="37" max="37" width="14.85546875" bestFit="1" customWidth="1"/>
    <col min="38" max="38" width="48.28515625" bestFit="1" customWidth="1"/>
    <col min="39" max="39" width="31.140625" bestFit="1" customWidth="1"/>
    <col min="40" max="40" width="12.28515625" bestFit="1" customWidth="1"/>
  </cols>
  <sheetData>
    <row r="1" spans="1:40" x14ac:dyDescent="0.25">
      <c r="A1" s="10" t="s">
        <v>136</v>
      </c>
      <c r="B1" s="10">
        <v>1</v>
      </c>
      <c r="C1" s="10">
        <f>B1+1</f>
        <v>2</v>
      </c>
      <c r="D1" s="10">
        <f t="shared" ref="D1:AM1" si="0">C1+1</f>
        <v>3</v>
      </c>
      <c r="E1" s="10">
        <f t="shared" si="0"/>
        <v>4</v>
      </c>
      <c r="F1" s="10">
        <f t="shared" si="0"/>
        <v>5</v>
      </c>
      <c r="G1" s="10">
        <f t="shared" si="0"/>
        <v>6</v>
      </c>
      <c r="H1" s="10">
        <f t="shared" si="0"/>
        <v>7</v>
      </c>
      <c r="I1" s="10">
        <f t="shared" si="0"/>
        <v>8</v>
      </c>
      <c r="J1" s="10">
        <f t="shared" si="0"/>
        <v>9</v>
      </c>
      <c r="K1" s="10">
        <f t="shared" si="0"/>
        <v>10</v>
      </c>
      <c r="L1" s="10">
        <f t="shared" si="0"/>
        <v>11</v>
      </c>
      <c r="M1" s="10">
        <f t="shared" si="0"/>
        <v>12</v>
      </c>
      <c r="N1" s="10">
        <f t="shared" si="0"/>
        <v>13</v>
      </c>
      <c r="O1" s="10">
        <f t="shared" si="0"/>
        <v>14</v>
      </c>
      <c r="P1" s="10">
        <f t="shared" si="0"/>
        <v>15</v>
      </c>
      <c r="Q1" s="10">
        <f t="shared" si="0"/>
        <v>16</v>
      </c>
      <c r="R1" s="10">
        <f t="shared" si="0"/>
        <v>17</v>
      </c>
      <c r="S1" s="10">
        <f t="shared" si="0"/>
        <v>18</v>
      </c>
      <c r="T1" s="10">
        <f t="shared" si="0"/>
        <v>19</v>
      </c>
      <c r="U1" s="10">
        <f t="shared" si="0"/>
        <v>20</v>
      </c>
      <c r="V1" s="10">
        <f t="shared" si="0"/>
        <v>21</v>
      </c>
      <c r="W1" s="10">
        <f t="shared" si="0"/>
        <v>22</v>
      </c>
      <c r="X1" s="10">
        <f t="shared" si="0"/>
        <v>23</v>
      </c>
      <c r="Y1" s="10">
        <f t="shared" si="0"/>
        <v>24</v>
      </c>
      <c r="Z1" s="10">
        <f t="shared" si="0"/>
        <v>25</v>
      </c>
      <c r="AA1" s="10">
        <f t="shared" si="0"/>
        <v>26</v>
      </c>
      <c r="AB1" s="10">
        <f t="shared" si="0"/>
        <v>27</v>
      </c>
      <c r="AC1" s="10">
        <f t="shared" si="0"/>
        <v>28</v>
      </c>
      <c r="AD1" s="10">
        <f t="shared" si="0"/>
        <v>29</v>
      </c>
      <c r="AE1" s="10">
        <f t="shared" si="0"/>
        <v>30</v>
      </c>
      <c r="AF1" s="10">
        <f t="shared" si="0"/>
        <v>31</v>
      </c>
      <c r="AG1" s="10">
        <f>AF1+1</f>
        <v>32</v>
      </c>
      <c r="AH1" s="10">
        <f t="shared" si="0"/>
        <v>33</v>
      </c>
      <c r="AI1" s="10">
        <f t="shared" si="0"/>
        <v>34</v>
      </c>
      <c r="AJ1" s="10">
        <f t="shared" si="0"/>
        <v>35</v>
      </c>
      <c r="AK1" s="10">
        <f t="shared" si="0"/>
        <v>36</v>
      </c>
      <c r="AL1" s="10">
        <f t="shared" si="0"/>
        <v>37</v>
      </c>
      <c r="AM1" s="10">
        <f t="shared" si="0"/>
        <v>38</v>
      </c>
      <c r="AN1" s="10">
        <f>AM1+1</f>
        <v>39</v>
      </c>
    </row>
    <row r="2" spans="1:40" x14ac:dyDescent="0.25">
      <c r="A2" t="s">
        <v>137</v>
      </c>
      <c r="B2" t="s">
        <v>169</v>
      </c>
      <c r="C2" t="s">
        <v>157</v>
      </c>
      <c r="D2" t="s">
        <v>158</v>
      </c>
      <c r="E2" t="s">
        <v>159</v>
      </c>
      <c r="F2" t="s">
        <v>160</v>
      </c>
      <c r="G2" t="s">
        <v>161</v>
      </c>
      <c r="H2" t="s">
        <v>162</v>
      </c>
      <c r="I2" t="s">
        <v>163</v>
      </c>
      <c r="J2" t="s">
        <v>164</v>
      </c>
      <c r="K2" t="s">
        <v>149</v>
      </c>
      <c r="L2" t="s">
        <v>150</v>
      </c>
      <c r="M2" t="s">
        <v>167</v>
      </c>
      <c r="N2" t="s">
        <v>151</v>
      </c>
      <c r="O2" t="s">
        <v>153</v>
      </c>
      <c r="P2" t="s">
        <v>152</v>
      </c>
      <c r="Q2" t="s">
        <v>154</v>
      </c>
      <c r="R2" t="s">
        <v>155</v>
      </c>
      <c r="S2" t="s">
        <v>156</v>
      </c>
      <c r="T2" t="s">
        <v>165</v>
      </c>
      <c r="U2" t="s">
        <v>166</v>
      </c>
      <c r="V2" t="s">
        <v>168</v>
      </c>
      <c r="W2" t="s">
        <v>170</v>
      </c>
      <c r="X2" t="s">
        <v>171</v>
      </c>
      <c r="Y2" t="s">
        <v>172</v>
      </c>
      <c r="Z2" t="s">
        <v>173</v>
      </c>
      <c r="AA2" t="s">
        <v>160</v>
      </c>
      <c r="AB2" t="s">
        <v>174</v>
      </c>
      <c r="AC2" t="s">
        <v>162</v>
      </c>
      <c r="AD2" t="s">
        <v>175</v>
      </c>
      <c r="AE2" t="s">
        <v>176</v>
      </c>
      <c r="AF2" t="s">
        <v>177</v>
      </c>
      <c r="AG2" t="s">
        <v>178</v>
      </c>
      <c r="AH2" t="s">
        <v>179</v>
      </c>
      <c r="AI2" t="s">
        <v>180</v>
      </c>
      <c r="AJ2" t="s">
        <v>181</v>
      </c>
      <c r="AK2" t="s">
        <v>148</v>
      </c>
      <c r="AL2" t="s">
        <v>182</v>
      </c>
      <c r="AM2" t="s">
        <v>183</v>
      </c>
      <c r="AN2" t="s">
        <v>184</v>
      </c>
    </row>
    <row r="3" spans="1:40" x14ac:dyDescent="0.25">
      <c r="A3" t="s">
        <v>138</v>
      </c>
      <c r="B3">
        <f>B12/0.2</f>
        <v>9.4462412049538997</v>
      </c>
      <c r="C3">
        <f>D3</f>
        <v>11.335489445944679</v>
      </c>
      <c r="D3">
        <f>E3</f>
        <v>11.335489445944679</v>
      </c>
      <c r="E3">
        <f>E11/F11*F3</f>
        <v>11.335489445944679</v>
      </c>
      <c r="F3">
        <f>B3</f>
        <v>9.4462412049538997</v>
      </c>
      <c r="G3">
        <f>E3-F3</f>
        <v>1.8892482409907796</v>
      </c>
      <c r="H3">
        <f>'eLLE Bals'!AE2</f>
        <v>18.892482409907799</v>
      </c>
      <c r="I3">
        <f>H3</f>
        <v>18.892482409907799</v>
      </c>
      <c r="J3">
        <f>I3</f>
        <v>18.892482409907799</v>
      </c>
      <c r="K3">
        <f>'eLLE Bals'!AD2</f>
        <v>100</v>
      </c>
      <c r="L3">
        <f>K3</f>
        <v>100</v>
      </c>
      <c r="M3">
        <f>'eLLE Bals'!AF2</f>
        <v>92.6825353019658</v>
      </c>
      <c r="N3">
        <f>M3</f>
        <v>92.6825353019658</v>
      </c>
      <c r="O3">
        <v>0</v>
      </c>
      <c r="P3">
        <f>P24*70.906/1000/(0.003214)</f>
        <v>6.7287596293455634</v>
      </c>
      <c r="Q3">
        <f>N3</f>
        <v>92.6825353019658</v>
      </c>
      <c r="R3">
        <f>Q3</f>
        <v>92.6825353019658</v>
      </c>
      <c r="S3">
        <f>S12/Q12*R3</f>
        <v>7.1053222150816451</v>
      </c>
      <c r="T3">
        <f>R3-S3</f>
        <v>85.577213086884157</v>
      </c>
      <c r="U3">
        <f>S3</f>
        <v>7.1053222150816451</v>
      </c>
      <c r="V3">
        <f>T3+U3</f>
        <v>92.6825353019658</v>
      </c>
      <c r="W3">
        <f>W12/0.2</f>
        <v>10.719812774987</v>
      </c>
      <c r="X3">
        <f>Z3</f>
        <v>12.863775329984399</v>
      </c>
      <c r="Y3">
        <f>Z3</f>
        <v>12.863775329984399</v>
      </c>
      <c r="Z3">
        <f>Z5/AA5*AA3</f>
        <v>12.863775329984399</v>
      </c>
      <c r="AA3">
        <f>W3</f>
        <v>10.719812774987</v>
      </c>
      <c r="AB3">
        <f>Z3-AA3</f>
        <v>2.1439625549973993</v>
      </c>
      <c r="AC3">
        <f>'eLLE Bals'!AG2</f>
        <v>21.439625549974</v>
      </c>
      <c r="AD3">
        <f>AC3</f>
        <v>21.439625549974</v>
      </c>
      <c r="AE3">
        <f>AD3</f>
        <v>21.439625549974</v>
      </c>
      <c r="AF3">
        <f>AN3</f>
        <v>107.19812774986998</v>
      </c>
      <c r="AG3">
        <v>0</v>
      </c>
      <c r="AH3">
        <f>AH24*70.906/1000/(0.003214)</f>
        <v>3.4614705130518004</v>
      </c>
      <c r="AI3">
        <f>AF3</f>
        <v>107.19812774986998</v>
      </c>
      <c r="AJ3" s="13">
        <f>AK3*AJ5/AK5</f>
        <v>107.19812774986998</v>
      </c>
      <c r="AK3">
        <f>AM3</f>
        <v>7.119714427703574</v>
      </c>
      <c r="AL3">
        <f>AJ3-AK3</f>
        <v>100.07841332216641</v>
      </c>
      <c r="AM3">
        <f>AM17/0.02</f>
        <v>7.119714427703574</v>
      </c>
      <c r="AN3">
        <f>AL3+AM3</f>
        <v>107.19812774986998</v>
      </c>
    </row>
    <row r="4" spans="1:40" x14ac:dyDescent="0.25">
      <c r="A4" s="11" t="s">
        <v>146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x14ac:dyDescent="0.25">
      <c r="A5" t="s">
        <v>112</v>
      </c>
      <c r="B5">
        <f>SUM(B9:B12)</f>
        <v>6.0455943711704965</v>
      </c>
      <c r="C5">
        <f t="shared" ref="C5:G5" si="1">SUM(C9:C12)</f>
        <v>6.8768635972064391</v>
      </c>
      <c r="D5">
        <f t="shared" si="1"/>
        <v>6.8768635972064391</v>
      </c>
      <c r="E5">
        <f t="shared" si="1"/>
        <v>4.9876153562156595</v>
      </c>
      <c r="F5">
        <f t="shared" si="1"/>
        <v>4.156346130179716</v>
      </c>
      <c r="G5">
        <f t="shared" si="1"/>
        <v>0.83126922603594289</v>
      </c>
      <c r="H5">
        <v>0</v>
      </c>
      <c r="I5">
        <v>0</v>
      </c>
      <c r="J5">
        <v>0</v>
      </c>
      <c r="K5">
        <f>K15*2+K16*3+K13</f>
        <v>10.411049560245477</v>
      </c>
      <c r="L5">
        <f>K5</f>
        <v>10.411049560245477</v>
      </c>
      <c r="M5">
        <f>N5</f>
        <v>30.311288180880535</v>
      </c>
      <c r="N5">
        <f>N12+N13+N14*2+N15*2+N16*3+N17*4+N18*3</f>
        <v>30.311288180880535</v>
      </c>
      <c r="O5">
        <v>0</v>
      </c>
      <c r="P5">
        <v>0</v>
      </c>
      <c r="Q5">
        <f>N5</f>
        <v>30.311288180880535</v>
      </c>
      <c r="R5">
        <f>R12+R13+R14*2+R15*2+R16*3+R17*4+R18*3</f>
        <v>32.200536421871334</v>
      </c>
      <c r="S5">
        <f>S3/R3*R5</f>
        <v>2.4685900750388221</v>
      </c>
      <c r="T5">
        <f>R5-S5</f>
        <v>29.731946346832512</v>
      </c>
      <c r="U5">
        <f>U17*4</f>
        <v>0.57934183404804329</v>
      </c>
      <c r="V5">
        <f>T5+U5</f>
        <v>30.311288180880556</v>
      </c>
      <c r="W5">
        <f>SUM(W9:W12)</f>
        <v>6.8606801759916811</v>
      </c>
      <c r="X5">
        <f>SUM(X9:X12)</f>
        <v>7.8040237001905366</v>
      </c>
      <c r="Y5">
        <f>SUM(Y9:Y12)</f>
        <v>7.8040237001905366</v>
      </c>
      <c r="Z5">
        <f t="shared" ref="Z5:AB5" si="2">SUM(Z9:Z12)</f>
        <v>5.6600611451931364</v>
      </c>
      <c r="AA5">
        <f t="shared" si="2"/>
        <v>4.7167176209942809</v>
      </c>
      <c r="AB5">
        <f t="shared" si="2"/>
        <v>0.94334352419885636</v>
      </c>
      <c r="AC5">
        <v>0</v>
      </c>
      <c r="AD5">
        <v>0</v>
      </c>
      <c r="AE5">
        <v>0</v>
      </c>
      <c r="AF5">
        <f>AN5</f>
        <v>38.712504281757134</v>
      </c>
      <c r="AG5">
        <v>0</v>
      </c>
      <c r="AH5">
        <v>0</v>
      </c>
      <c r="AI5">
        <f>AF5</f>
        <v>38.712504281757134</v>
      </c>
      <c r="AJ5">
        <f>AJ12+AJ13+AJ17*4</f>
        <v>40.856466836754521</v>
      </c>
      <c r="AK5">
        <f>AJ5/AJ12*AK12</f>
        <v>2.7135397092136859</v>
      </c>
      <c r="AL5">
        <f>AJ5-AK5</f>
        <v>38.142927127540837</v>
      </c>
      <c r="AM5">
        <f>AM17*4</f>
        <v>0.56957715421628596</v>
      </c>
      <c r="AN5">
        <f>AN12+AN13+4*AN17</f>
        <v>38.712504281757134</v>
      </c>
    </row>
    <row r="6" spans="1:40" x14ac:dyDescent="0.25">
      <c r="A6" t="s">
        <v>113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f>K14*2</f>
        <v>0.30828717018410801</v>
      </c>
      <c r="L6">
        <f>K6</f>
        <v>0.30828717018410801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f t="shared" ref="T6:T24" si="3">R6-S6</f>
        <v>0</v>
      </c>
      <c r="U6">
        <v>0</v>
      </c>
      <c r="V6">
        <f t="shared" ref="V6:V24" si="4">T6+U6</f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f t="shared" ref="AL6:AL24" si="5">AJ6-AK6</f>
        <v>0</v>
      </c>
      <c r="AM6">
        <v>0</v>
      </c>
      <c r="AN6">
        <f>AL6+AM6</f>
        <v>0</v>
      </c>
    </row>
    <row r="7" spans="1:40" x14ac:dyDescent="0.25">
      <c r="A7" t="s">
        <v>121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f>H12</f>
        <v>1.88924824099078</v>
      </c>
      <c r="I7">
        <f>I12+2*I14+2*I15+3*I16</f>
        <v>1.8892482409907991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f t="shared" si="3"/>
        <v>0</v>
      </c>
      <c r="U7">
        <v>0</v>
      </c>
      <c r="V7">
        <f t="shared" si="4"/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f t="shared" si="5"/>
        <v>0</v>
      </c>
      <c r="AM7">
        <v>0</v>
      </c>
      <c r="AN7">
        <v>0</v>
      </c>
    </row>
    <row r="8" spans="1:40" x14ac:dyDescent="0.25">
      <c r="A8" t="s">
        <v>122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f t="shared" si="3"/>
        <v>0</v>
      </c>
      <c r="U8">
        <v>0</v>
      </c>
      <c r="V8">
        <f t="shared" si="4"/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f>AC12</f>
        <v>2.1439625549974002</v>
      </c>
      <c r="AD8">
        <f>AC8</f>
        <v>2.1439625549974002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f t="shared" si="5"/>
        <v>0</v>
      </c>
      <c r="AM8">
        <v>0</v>
      </c>
      <c r="AN8">
        <v>0</v>
      </c>
    </row>
    <row r="9" spans="1:40" x14ac:dyDescent="0.25">
      <c r="A9" t="s">
        <v>115</v>
      </c>
      <c r="B9">
        <f>'Oxidant Feed Composition'!N20/'Oxidant Feed Composition'!N23*B12</f>
        <v>6.2974941366359366E-2</v>
      </c>
      <c r="C9">
        <f>B9+G9</f>
        <v>7.5569929639631231E-2</v>
      </c>
      <c r="D9">
        <f>C9</f>
        <v>7.5569929639631231E-2</v>
      </c>
      <c r="E9">
        <f>F9/F10*E10</f>
        <v>7.5569929639631231E-2</v>
      </c>
      <c r="F9">
        <f>B9</f>
        <v>6.2974941366359366E-2</v>
      </c>
      <c r="G9">
        <f>E9-F9</f>
        <v>1.2594988273271865E-2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f t="shared" si="3"/>
        <v>0</v>
      </c>
      <c r="U9">
        <v>0</v>
      </c>
      <c r="V9">
        <f t="shared" si="4"/>
        <v>0</v>
      </c>
      <c r="W9">
        <f>'Oxidant Feed Composition'!N20/'Oxidant Feed Composition'!N23*W12</f>
        <v>7.1465418499913363E-2</v>
      </c>
      <c r="X9">
        <f>W9+AB9</f>
        <v>8.5758502199896045E-2</v>
      </c>
      <c r="Y9">
        <f>X9</f>
        <v>8.5758502199896045E-2</v>
      </c>
      <c r="Z9">
        <f>Y9</f>
        <v>8.5758502199896045E-2</v>
      </c>
      <c r="AA9">
        <f>W9</f>
        <v>7.1465418499913363E-2</v>
      </c>
      <c r="AB9">
        <f>AA9/AA10*AB10</f>
        <v>1.4293083699982678E-2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f t="shared" si="5"/>
        <v>0</v>
      </c>
      <c r="AM9">
        <v>0</v>
      </c>
      <c r="AN9">
        <v>0</v>
      </c>
    </row>
    <row r="10" spans="1:40" x14ac:dyDescent="0.25">
      <c r="A10" t="s">
        <v>114</v>
      </c>
      <c r="B10">
        <f>'Oxidant Feed Composition'!N21/'Oxidant Feed Composition'!N23*B12</f>
        <v>3.148747068317967</v>
      </c>
      <c r="C10">
        <f>B10+G10</f>
        <v>3.7784964819815601</v>
      </c>
      <c r="D10">
        <f>C10+3*B11</f>
        <v>6.6123688434677304</v>
      </c>
      <c r="E10">
        <f>F10/F11*E11</f>
        <v>3.7784964819815601</v>
      </c>
      <c r="F10">
        <f>B10</f>
        <v>3.148747068317967</v>
      </c>
      <c r="G10">
        <f>E10-F10</f>
        <v>0.62974941366359305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f t="shared" si="3"/>
        <v>0</v>
      </c>
      <c r="U10">
        <v>0</v>
      </c>
      <c r="V10">
        <f t="shared" si="4"/>
        <v>0</v>
      </c>
      <c r="W10">
        <f>'Oxidant Feed Composition'!N21/'Oxidant Feed Composition'!N23*W12</f>
        <v>3.5732709249956671</v>
      </c>
      <c r="X10">
        <f>W10+AB10</f>
        <v>4.2879251099948004</v>
      </c>
      <c r="Y10">
        <f>W11*3+X10</f>
        <v>7.5038689424909002</v>
      </c>
      <c r="Z10">
        <f>Y10-3*W11</f>
        <v>4.2879251099948004</v>
      </c>
      <c r="AA10">
        <f>W10</f>
        <v>3.5732709249956671</v>
      </c>
      <c r="AB10">
        <f>AA10/AA11*AB11</f>
        <v>0.71465418499913358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f t="shared" si="5"/>
        <v>0</v>
      </c>
      <c r="AM10">
        <v>0</v>
      </c>
      <c r="AN10">
        <v>0</v>
      </c>
    </row>
    <row r="11" spans="1:40" x14ac:dyDescent="0.25">
      <c r="A11" t="s">
        <v>116</v>
      </c>
      <c r="B11">
        <f>B12*0.5</f>
        <v>0.94462412049539002</v>
      </c>
      <c r="C11">
        <f>B11*1.2</f>
        <v>1.133548944594468</v>
      </c>
      <c r="D11">
        <f>C11-B11</f>
        <v>0.18892482409907796</v>
      </c>
      <c r="E11">
        <f>C11</f>
        <v>1.133548944594468</v>
      </c>
      <c r="F11">
        <f>B11</f>
        <v>0.94462412049539002</v>
      </c>
      <c r="G11">
        <f>E11-F11</f>
        <v>0.18892482409907796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f t="shared" si="3"/>
        <v>0</v>
      </c>
      <c r="U11">
        <v>0</v>
      </c>
      <c r="V11">
        <f t="shared" si="4"/>
        <v>0</v>
      </c>
      <c r="W11">
        <f>0.5*W12</f>
        <v>1.0719812774987001</v>
      </c>
      <c r="X11">
        <f>W11*1.2</f>
        <v>1.2863775329984402</v>
      </c>
      <c r="Y11">
        <f>X11-W11</f>
        <v>0.21439625549974006</v>
      </c>
      <c r="Z11">
        <f>Y11+W11</f>
        <v>1.2863775329984402</v>
      </c>
      <c r="AA11">
        <f>W11</f>
        <v>1.0719812774987001</v>
      </c>
      <c r="AB11">
        <f>X11-W11</f>
        <v>0.21439625549974006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f t="shared" si="5"/>
        <v>0</v>
      </c>
      <c r="AM11">
        <v>0</v>
      </c>
      <c r="AN11">
        <v>0</v>
      </c>
    </row>
    <row r="12" spans="1:40" x14ac:dyDescent="0.25">
      <c r="A12" t="s">
        <v>107</v>
      </c>
      <c r="B12">
        <f>'eLLE Bals'!AJ2</f>
        <v>1.88924824099078</v>
      </c>
      <c r="C12">
        <f>B12</f>
        <v>1.88924824099078</v>
      </c>
      <c r="D12">
        <v>0</v>
      </c>
      <c r="E12">
        <v>0</v>
      </c>
      <c r="F12">
        <v>0</v>
      </c>
      <c r="G12">
        <v>0</v>
      </c>
      <c r="H12">
        <f>B12</f>
        <v>1.88924824099078</v>
      </c>
      <c r="I12">
        <f>'eLLE Bals'!AM2</f>
        <v>1.2704776444942714</v>
      </c>
      <c r="J12">
        <v>0</v>
      </c>
      <c r="K12">
        <v>0</v>
      </c>
      <c r="L12">
        <f>H12-I12</f>
        <v>0.61877059649650867</v>
      </c>
      <c r="M12">
        <f>N12-'eLLE Bals'!BK2</f>
        <v>20.246276379430071</v>
      </c>
      <c r="N12">
        <f>Q12</f>
        <v>20.551325203218532</v>
      </c>
      <c r="O12">
        <v>0</v>
      </c>
      <c r="P12">
        <v>0</v>
      </c>
      <c r="Q12">
        <f>S12/S13*Q13</f>
        <v>20.551325203218532</v>
      </c>
      <c r="R12">
        <f>Q12</f>
        <v>20.551325203218532</v>
      </c>
      <c r="S12">
        <f>'eLLE Bals'!BO2</f>
        <v>1.5755264682827335</v>
      </c>
      <c r="T12">
        <f t="shared" si="3"/>
        <v>18.9757987349358</v>
      </c>
      <c r="U12">
        <v>0</v>
      </c>
      <c r="V12">
        <f t="shared" si="4"/>
        <v>18.9757987349358</v>
      </c>
      <c r="W12">
        <f>'eLLE Bals'!AK2</f>
        <v>2.1439625549974002</v>
      </c>
      <c r="X12">
        <f>W12+AB12</f>
        <v>2.1439625549974002</v>
      </c>
      <c r="Y12">
        <v>0</v>
      </c>
      <c r="Z12">
        <v>0</v>
      </c>
      <c r="AA12">
        <v>0</v>
      </c>
      <c r="AB12">
        <v>0</v>
      </c>
      <c r="AC12">
        <f>X12</f>
        <v>2.1439625549974002</v>
      </c>
      <c r="AD12">
        <f>'eLLE Bals'!BJ2</f>
        <v>1.8389137312089381</v>
      </c>
      <c r="AE12">
        <v>0</v>
      </c>
      <c r="AF12">
        <f>AI12</f>
        <v>27.687642682981664</v>
      </c>
      <c r="AG12">
        <v>0</v>
      </c>
      <c r="AH12">
        <v>0</v>
      </c>
      <c r="AI12">
        <f>AJ12</f>
        <v>27.687642682981664</v>
      </c>
      <c r="AJ12">
        <f>AK12/AK13*AJ13</f>
        <v>27.687642682981664</v>
      </c>
      <c r="AK12">
        <f>AD12</f>
        <v>1.8389137312089381</v>
      </c>
      <c r="AL12">
        <f t="shared" si="5"/>
        <v>25.848728951772728</v>
      </c>
      <c r="AM12">
        <v>0</v>
      </c>
      <c r="AN12">
        <f>AL12+AM12</f>
        <v>25.848728951772728</v>
      </c>
    </row>
    <row r="13" spans="1:40" x14ac:dyDescent="0.25">
      <c r="A13" t="s">
        <v>120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f>K3*0.1</f>
        <v>10</v>
      </c>
      <c r="L13">
        <f>K13</f>
        <v>10</v>
      </c>
      <c r="M13">
        <f>'eLLE Bals'!BQ2</f>
        <v>3.7784964819815601</v>
      </c>
      <c r="N13">
        <f>M13</f>
        <v>3.7784964819815601</v>
      </c>
      <c r="O13">
        <v>0</v>
      </c>
      <c r="P13">
        <v>0</v>
      </c>
      <c r="Q13">
        <f>N13+'eLLE Bals'!BE2</f>
        <v>4.0922182546896053</v>
      </c>
      <c r="R13">
        <f>Q13</f>
        <v>4.0922182546896053</v>
      </c>
      <c r="S13">
        <f>Q13-N13</f>
        <v>0.31372177270804524</v>
      </c>
      <c r="T13">
        <f>R13-S13</f>
        <v>3.7784964819815601</v>
      </c>
      <c r="U13">
        <v>0</v>
      </c>
      <c r="V13">
        <f>T13+U13</f>
        <v>3.7784964819815601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f>AN13</f>
        <v>4.2879251099948004</v>
      </c>
      <c r="AG13">
        <v>0</v>
      </c>
      <c r="AH13">
        <v>0</v>
      </c>
      <c r="AI13">
        <f>AF13+'eLLE Bals'!BN2</f>
        <v>4.592973933783262</v>
      </c>
      <c r="AJ13">
        <f>AI13</f>
        <v>4.592973933783262</v>
      </c>
      <c r="AK13">
        <f>'eLLE Bals'!BN2</f>
        <v>0.30504882378846199</v>
      </c>
      <c r="AL13">
        <f t="shared" si="5"/>
        <v>4.2879251099948004</v>
      </c>
      <c r="AM13">
        <v>0</v>
      </c>
      <c r="AN13">
        <f>'eLLE Bals'!BX2</f>
        <v>4.2879251099948004</v>
      </c>
    </row>
    <row r="14" spans="1:40" x14ac:dyDescent="0.25">
      <c r="A14" t="s">
        <v>117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f>'eLLE Bals'!AV2</f>
        <v>0.15251354920703092</v>
      </c>
      <c r="J14">
        <v>0</v>
      </c>
      <c r="K14">
        <f>'eLLE Bals'!AS2</f>
        <v>0.154143585092054</v>
      </c>
      <c r="L14">
        <f>K14-I14</f>
        <v>1.6300358850230845E-3</v>
      </c>
      <c r="M14">
        <f>I14</f>
        <v>0.15251354920703092</v>
      </c>
      <c r="N14">
        <f>'eLLE Bals'!AY2</f>
        <v>0.14813775196595952</v>
      </c>
      <c r="O14">
        <v>0</v>
      </c>
      <c r="P14">
        <v>0</v>
      </c>
      <c r="Q14">
        <v>0</v>
      </c>
      <c r="R14">
        <v>0</v>
      </c>
      <c r="S14">
        <v>0</v>
      </c>
      <c r="T14">
        <f t="shared" si="3"/>
        <v>0</v>
      </c>
      <c r="U14">
        <v>0</v>
      </c>
      <c r="V14">
        <f t="shared" si="4"/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f>'eLLE Bals'!BF2</f>
        <v>4.3757972410817091E-3</v>
      </c>
      <c r="AE14">
        <v>0</v>
      </c>
      <c r="AF14">
        <f>AD14</f>
        <v>4.3757972410817091E-3</v>
      </c>
      <c r="AG14">
        <v>0</v>
      </c>
      <c r="AH14">
        <v>0</v>
      </c>
      <c r="AI14">
        <v>0</v>
      </c>
      <c r="AJ14">
        <v>0</v>
      </c>
      <c r="AK14">
        <v>0</v>
      </c>
      <c r="AL14">
        <f t="shared" si="5"/>
        <v>0</v>
      </c>
      <c r="AM14">
        <v>0</v>
      </c>
      <c r="AN14">
        <f>AL14+AM14</f>
        <v>0</v>
      </c>
    </row>
    <row r="15" spans="1:40" x14ac:dyDescent="0.25">
      <c r="A15" t="s">
        <v>118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f>'eLLE Bals'!AW2</f>
        <v>0.15406911023244688</v>
      </c>
      <c r="J15">
        <v>0</v>
      </c>
      <c r="K15">
        <f>'eLLE Bals'!AT2</f>
        <v>0.154143585092054</v>
      </c>
      <c r="L15">
        <f t="shared" ref="L15:L16" si="6">K15-I15</f>
        <v>7.447485960712652E-5</v>
      </c>
      <c r="M15">
        <f t="shared" ref="M15:M16" si="7">I15</f>
        <v>0.15406911023244688</v>
      </c>
      <c r="N15">
        <f>'eLLE Bals'!AZ2</f>
        <v>5.9439025869279013E-3</v>
      </c>
      <c r="O15">
        <v>0</v>
      </c>
      <c r="P15">
        <v>0</v>
      </c>
      <c r="Q15">
        <v>0</v>
      </c>
      <c r="R15">
        <v>0</v>
      </c>
      <c r="S15">
        <v>0</v>
      </c>
      <c r="T15">
        <f t="shared" si="3"/>
        <v>0</v>
      </c>
      <c r="U15">
        <v>0</v>
      </c>
      <c r="V15">
        <f t="shared" si="4"/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f>'eLLE Bals'!BG2</f>
        <v>0.14812520764549744</v>
      </c>
      <c r="AE15">
        <v>0</v>
      </c>
      <c r="AF15">
        <f t="shared" ref="AF15:AF16" si="8">AD15</f>
        <v>0.14812520764549744</v>
      </c>
      <c r="AG15">
        <v>0</v>
      </c>
      <c r="AH15">
        <v>0</v>
      </c>
      <c r="AI15">
        <v>0</v>
      </c>
      <c r="AJ15">
        <v>0</v>
      </c>
      <c r="AK15">
        <v>0</v>
      </c>
      <c r="AL15">
        <f t="shared" si="5"/>
        <v>0</v>
      </c>
      <c r="AM15">
        <v>0</v>
      </c>
      <c r="AN15">
        <f t="shared" ref="AN15:AN24" si="9">AL15+AM15</f>
        <v>0</v>
      </c>
    </row>
    <row r="16" spans="1:40" x14ac:dyDescent="0.25">
      <c r="A16" t="s">
        <v>119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f>'eLLE Bals'!AX2</f>
        <v>1.8684258725241015E-3</v>
      </c>
      <c r="J16">
        <v>0</v>
      </c>
      <c r="K16">
        <f>'eLLE Bals'!AU2</f>
        <v>3.4254130020456498E-2</v>
      </c>
      <c r="L16">
        <f t="shared" si="6"/>
        <v>3.2385704147932397E-2</v>
      </c>
      <c r="M16">
        <f t="shared" si="7"/>
        <v>1.8684258725241015E-3</v>
      </c>
      <c r="N16">
        <f>'eLLE Bals'!BA2</f>
        <v>1.8528212007566617E-3</v>
      </c>
      <c r="O16">
        <v>0</v>
      </c>
      <c r="P16">
        <v>0</v>
      </c>
      <c r="Q16">
        <v>0</v>
      </c>
      <c r="R16">
        <v>0</v>
      </c>
      <c r="S16">
        <v>0</v>
      </c>
      <c r="T16">
        <f t="shared" si="3"/>
        <v>0</v>
      </c>
      <c r="U16">
        <v>0</v>
      </c>
      <c r="V16">
        <f t="shared" si="4"/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f>'eLLE Bals'!BH2</f>
        <v>1.560467176791095E-5</v>
      </c>
      <c r="AE16">
        <v>0</v>
      </c>
      <c r="AF16">
        <f t="shared" si="8"/>
        <v>1.560467176791095E-5</v>
      </c>
      <c r="AG16">
        <v>0</v>
      </c>
      <c r="AH16">
        <v>0</v>
      </c>
      <c r="AI16">
        <v>0</v>
      </c>
      <c r="AJ16">
        <v>0</v>
      </c>
      <c r="AK16">
        <v>0</v>
      </c>
      <c r="AL16">
        <f t="shared" si="5"/>
        <v>0</v>
      </c>
      <c r="AM16">
        <v>0</v>
      </c>
      <c r="AN16">
        <f t="shared" si="9"/>
        <v>0</v>
      </c>
    </row>
    <row r="17" spans="1:40" x14ac:dyDescent="0.25">
      <c r="A17" t="s">
        <v>139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f>Q18</f>
        <v>1.8892482409907991</v>
      </c>
      <c r="S17">
        <f>S3/R3*R17</f>
        <v>0.14483545851201082</v>
      </c>
      <c r="T17">
        <f t="shared" si="3"/>
        <v>1.7444127824787883</v>
      </c>
      <c r="U17">
        <f>S17</f>
        <v>0.14483545851201082</v>
      </c>
      <c r="V17">
        <f t="shared" si="4"/>
        <v>1.8892482409907991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f>AD8</f>
        <v>2.1439625549974002</v>
      </c>
      <c r="AK17">
        <f>AJ17/AJ13*AK13</f>
        <v>0.14239428855407149</v>
      </c>
      <c r="AL17">
        <f t="shared" si="5"/>
        <v>2.0015682664433285</v>
      </c>
      <c r="AM17">
        <f>AK17</f>
        <v>0.14239428855407149</v>
      </c>
      <c r="AN17">
        <f t="shared" si="9"/>
        <v>2.1439625549974002</v>
      </c>
    </row>
    <row r="18" spans="1:40" x14ac:dyDescent="0.25">
      <c r="A18" t="s">
        <v>140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f>I7</f>
        <v>1.8892482409907991</v>
      </c>
      <c r="N18">
        <f>M18</f>
        <v>1.8892482409907991</v>
      </c>
      <c r="O18">
        <v>0</v>
      </c>
      <c r="P18">
        <v>0</v>
      </c>
      <c r="Q18">
        <f>N18</f>
        <v>1.8892482409907991</v>
      </c>
      <c r="R18">
        <v>0</v>
      </c>
      <c r="S18">
        <v>0</v>
      </c>
      <c r="T18">
        <f t="shared" si="3"/>
        <v>0</v>
      </c>
      <c r="U18">
        <v>0</v>
      </c>
      <c r="V18">
        <f t="shared" si="4"/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f>AD8</f>
        <v>2.1439625549974002</v>
      </c>
      <c r="AG18">
        <v>0</v>
      </c>
      <c r="AH18">
        <v>0</v>
      </c>
      <c r="AI18">
        <f>AJ17</f>
        <v>2.1439625549974002</v>
      </c>
      <c r="AJ18">
        <v>0</v>
      </c>
      <c r="AK18">
        <v>0</v>
      </c>
      <c r="AL18">
        <f t="shared" si="5"/>
        <v>0</v>
      </c>
      <c r="AM18">
        <v>0</v>
      </c>
      <c r="AN18">
        <f t="shared" si="9"/>
        <v>0</v>
      </c>
    </row>
    <row r="19" spans="1:40" x14ac:dyDescent="0.25">
      <c r="A19" t="s">
        <v>52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f>B12</f>
        <v>1.88924824099078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f t="shared" si="3"/>
        <v>0</v>
      </c>
      <c r="U19">
        <v>0</v>
      </c>
      <c r="V19">
        <f t="shared" si="4"/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f t="shared" si="5"/>
        <v>0</v>
      </c>
      <c r="AM19">
        <v>0</v>
      </c>
      <c r="AN19">
        <f t="shared" si="9"/>
        <v>0</v>
      </c>
    </row>
    <row r="20" spans="1:40" x14ac:dyDescent="0.25">
      <c r="A20" t="s">
        <v>123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f t="shared" si="3"/>
        <v>0</v>
      </c>
      <c r="U20">
        <v>0</v>
      </c>
      <c r="V20">
        <f t="shared" si="4"/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f>AC8</f>
        <v>2.1439625549974002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f t="shared" si="5"/>
        <v>0</v>
      </c>
      <c r="AM20">
        <v>0</v>
      </c>
      <c r="AN20">
        <f t="shared" si="9"/>
        <v>0</v>
      </c>
    </row>
    <row r="21" spans="1:40" x14ac:dyDescent="0.25">
      <c r="A21" t="s">
        <v>142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f>N14</f>
        <v>0.14813775196595952</v>
      </c>
      <c r="P21">
        <v>0</v>
      </c>
      <c r="Q21">
        <v>0</v>
      </c>
      <c r="R21">
        <v>0</v>
      </c>
      <c r="S21">
        <v>0</v>
      </c>
      <c r="T21">
        <f t="shared" si="3"/>
        <v>0</v>
      </c>
      <c r="U21">
        <v>0</v>
      </c>
      <c r="V21">
        <f t="shared" si="4"/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f>AF14</f>
        <v>4.3757972410817091E-3</v>
      </c>
      <c r="AH21">
        <v>0</v>
      </c>
      <c r="AI21">
        <v>0</v>
      </c>
      <c r="AJ21">
        <v>0</v>
      </c>
      <c r="AK21">
        <v>0</v>
      </c>
      <c r="AL21">
        <f t="shared" si="5"/>
        <v>0</v>
      </c>
      <c r="AM21">
        <v>0</v>
      </c>
      <c r="AN21">
        <f t="shared" si="9"/>
        <v>0</v>
      </c>
    </row>
    <row r="22" spans="1:40" x14ac:dyDescent="0.25">
      <c r="A22" t="s">
        <v>143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f t="shared" ref="O22:O23" si="10">N15</f>
        <v>5.9439025869279013E-3</v>
      </c>
      <c r="P22">
        <v>0</v>
      </c>
      <c r="Q22">
        <v>0</v>
      </c>
      <c r="R22">
        <v>0</v>
      </c>
      <c r="S22">
        <v>0</v>
      </c>
      <c r="T22">
        <f t="shared" si="3"/>
        <v>0</v>
      </c>
      <c r="U22">
        <v>0</v>
      </c>
      <c r="V22">
        <f t="shared" si="4"/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f t="shared" ref="AG22:AG23" si="11">AF15</f>
        <v>0.14812520764549744</v>
      </c>
      <c r="AH22">
        <v>0</v>
      </c>
      <c r="AI22">
        <v>0</v>
      </c>
      <c r="AJ22">
        <v>0</v>
      </c>
      <c r="AK22">
        <v>0</v>
      </c>
      <c r="AL22">
        <f t="shared" si="5"/>
        <v>0</v>
      </c>
      <c r="AM22">
        <v>0</v>
      </c>
      <c r="AN22">
        <f t="shared" si="9"/>
        <v>0</v>
      </c>
    </row>
    <row r="23" spans="1:40" x14ac:dyDescent="0.25">
      <c r="A23" t="s">
        <v>144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f t="shared" si="10"/>
        <v>1.8528212007566617E-3</v>
      </c>
      <c r="P23">
        <v>0</v>
      </c>
      <c r="Q23">
        <v>0</v>
      </c>
      <c r="R23">
        <v>0</v>
      </c>
      <c r="S23">
        <v>0</v>
      </c>
      <c r="T23">
        <f t="shared" si="3"/>
        <v>0</v>
      </c>
      <c r="U23">
        <v>0</v>
      </c>
      <c r="V23">
        <f t="shared" si="4"/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f t="shared" si="11"/>
        <v>1.560467176791095E-5</v>
      </c>
      <c r="AH23">
        <v>0</v>
      </c>
      <c r="AI23">
        <v>0</v>
      </c>
      <c r="AJ23">
        <v>0</v>
      </c>
      <c r="AK23">
        <v>0</v>
      </c>
      <c r="AL23">
        <f t="shared" si="5"/>
        <v>0</v>
      </c>
      <c r="AM23">
        <v>0</v>
      </c>
      <c r="AN23">
        <f t="shared" si="9"/>
        <v>0</v>
      </c>
    </row>
    <row r="24" spans="1:40" x14ac:dyDescent="0.25">
      <c r="A24" t="s">
        <v>145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f>'eLLE Bals'!BD2</f>
        <v>0.30499863831998192</v>
      </c>
      <c r="Q24">
        <v>0</v>
      </c>
      <c r="R24">
        <v>0</v>
      </c>
      <c r="S24">
        <v>0</v>
      </c>
      <c r="T24">
        <f t="shared" si="3"/>
        <v>0</v>
      </c>
      <c r="U24">
        <v>0</v>
      </c>
      <c r="V24">
        <f t="shared" si="4"/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f>'eLLE Bals'!BM2</f>
        <v>0.15690020913531272</v>
      </c>
      <c r="AI24">
        <v>0</v>
      </c>
      <c r="AJ24">
        <v>0</v>
      </c>
      <c r="AK24">
        <v>0</v>
      </c>
      <c r="AL24">
        <f t="shared" si="5"/>
        <v>0</v>
      </c>
      <c r="AM24">
        <v>0</v>
      </c>
      <c r="AN24">
        <f t="shared" si="9"/>
        <v>0</v>
      </c>
    </row>
    <row r="25" spans="1:40" x14ac:dyDescent="0.25">
      <c r="A25" s="3" t="s">
        <v>6</v>
      </c>
      <c r="B25" s="3"/>
      <c r="C25" s="3"/>
      <c r="D25" s="3"/>
      <c r="E25" s="3"/>
      <c r="F25" s="3"/>
      <c r="G25" s="3"/>
      <c r="H25" s="3">
        <v>0</v>
      </c>
      <c r="I25" s="3">
        <v>0</v>
      </c>
      <c r="J25" s="3">
        <v>0</v>
      </c>
      <c r="K25" s="3"/>
      <c r="L25" s="3"/>
      <c r="M25" s="3"/>
      <c r="N25" s="3"/>
      <c r="O25" s="3">
        <v>0</v>
      </c>
      <c r="P25" s="3">
        <v>0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0</v>
      </c>
      <c r="AD25" s="3">
        <v>0</v>
      </c>
      <c r="AE25" s="3">
        <v>0</v>
      </c>
      <c r="AF25" s="3"/>
      <c r="AG25" s="3"/>
      <c r="AH25" s="3"/>
      <c r="AI25" s="3"/>
      <c r="AJ25" s="3"/>
      <c r="AK25" s="3"/>
      <c r="AL25" s="3"/>
      <c r="AM25" s="3"/>
      <c r="AN25" s="3"/>
    </row>
    <row r="26" spans="1:40" x14ac:dyDescent="0.25">
      <c r="A26" s="3" t="s">
        <v>141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/>
      <c r="AD26" s="3"/>
      <c r="AE26" s="3"/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</row>
    <row r="27" spans="1:40" x14ac:dyDescent="0.25">
      <c r="A27" t="s">
        <v>147</v>
      </c>
      <c r="B27">
        <f>B5+B6+B7+B8-B9-B10-B11-B12-B13-2*B14-2*B15-3*B16-B17*4-B18*3</f>
        <v>-2.2204460492503131E-16</v>
      </c>
      <c r="C27">
        <f t="shared" ref="C27:D27" si="12">C5+C6+C7+C8-C9-C10-C11-C12-C13-2*C14-2*C15-3*C16-C17*4-C18*3</f>
        <v>2.2204460492503131E-16</v>
      </c>
      <c r="D27">
        <f t="shared" si="12"/>
        <v>0</v>
      </c>
      <c r="E27">
        <f>E5+E6+E7+E8-E9-E10-E11-E12-E13-2*E14-2*E15-3*E16-E17*4-E18*3</f>
        <v>6.6613381477509392E-16</v>
      </c>
      <c r="F27">
        <f>F5+F6+F7+F8-F9-F10-F11-F12-F13-2*F14-2*F15-3*F16-F17*4-F18*3</f>
        <v>-6.6613381477509392E-16</v>
      </c>
      <c r="G27">
        <f t="shared" ref="G27:J27" si="13">G5+G6+G7+G8-G9-G10-G11-G12-G13-2*G14-2*G15-3*G16-G17*4-G18*3</f>
        <v>0</v>
      </c>
      <c r="H27">
        <f t="shared" si="13"/>
        <v>0</v>
      </c>
      <c r="I27">
        <f t="shared" si="13"/>
        <v>-1.2490009027033011E-16</v>
      </c>
      <c r="J27">
        <f t="shared" si="13"/>
        <v>0</v>
      </c>
      <c r="K27">
        <f>K5+K6+K7+K8-K9-K10-K11-K12-K13-2*K14-2*K15-3*K16-K17*4-K18*3</f>
        <v>-5.5511151231257827E-17</v>
      </c>
      <c r="L27">
        <f>L5+L6+L7+L8-L9-L10-L11-L12-L13-2*L14-2*L15-3*L16-L17*4-L18*3</f>
        <v>1.9179102750399579E-14</v>
      </c>
      <c r="M27">
        <f t="shared" ref="M27" si="14">M5+M6+M7+M8-M9-M10-M11-M12-M13-2*M14-2*M15-3*M16-M17*4-M18*3</f>
        <v>-2.2204460492503131E-14</v>
      </c>
      <c r="N27">
        <f>N5+N6+N7+N8-N9-N10-N11-N12-N13-2*N14-2*N15-3*N16-N17*4-N18*3</f>
        <v>0</v>
      </c>
      <c r="O27">
        <f>O5+O6+O7+O8-O9-O10-O11-O12-O13-2*O14-2*O15-3*O16-O17*4-O18*3</f>
        <v>0</v>
      </c>
      <c r="P27">
        <f>P5+P6+P7+P8-P9-P10-P11-P12-P13-2*P14-2*P15-3*P16-P17*4-P18*3</f>
        <v>0</v>
      </c>
      <c r="Q27">
        <f t="shared" ref="Q27:R27" si="15">Q5+Q6+Q7+Q8-Q9-Q10-Q11-Q12-Q13-2*Q14-2*Q15-3*Q16-Q17*4-Q18*3</f>
        <v>0</v>
      </c>
      <c r="R27">
        <f t="shared" si="15"/>
        <v>0</v>
      </c>
      <c r="S27">
        <f>S5+S6+S7+S8-S9-S10-S11-S12-S13-2*S14-2*S15-3*S16-S17*4-S18*3</f>
        <v>1.1102230246251565E-16</v>
      </c>
      <c r="T27">
        <f>T5+T6+T7+T8-T9-T10-T11-T12-T13-2*T14-2*T15-3*T16-T17*4-T18*3</f>
        <v>-1.7763568394002505E-15</v>
      </c>
      <c r="U27">
        <f>U5+U6+U7+U8-U9-U10-U11-U12-U13-2*U14-2*U15-3*U16-U17*4-U18*3</f>
        <v>0</v>
      </c>
      <c r="V27">
        <f>V5+V6+V7+V8-V9-V10-V11-V12-V13-2*V14-2*V15-3*V16-V17*4-V18*3</f>
        <v>-8.8817841970012523E-16</v>
      </c>
      <c r="W27">
        <f>W5+W6+W7+W8-W9-W10-W11-W12-W13-2*W14-2*W15-3*W16-W17*4-W18*3</f>
        <v>0</v>
      </c>
      <c r="X27">
        <f t="shared" ref="X27:AI27" si="16">X5+X6+X7+X8-X9-X10-X11-X12-X13-2*X14-2*X15-3*X16-X17*4-X18*3</f>
        <v>0</v>
      </c>
      <c r="Y27">
        <f t="shared" si="16"/>
        <v>2.2204460492503131E-16</v>
      </c>
      <c r="Z27">
        <f t="shared" si="16"/>
        <v>-2.2204460492503131E-16</v>
      </c>
      <c r="AA27">
        <f t="shared" si="16"/>
        <v>0</v>
      </c>
      <c r="AB27">
        <f t="shared" si="16"/>
        <v>0</v>
      </c>
      <c r="AC27">
        <f t="shared" si="16"/>
        <v>0</v>
      </c>
      <c r="AD27">
        <f t="shared" si="16"/>
        <v>8.7047881923429937E-17</v>
      </c>
      <c r="AE27">
        <f t="shared" si="16"/>
        <v>0</v>
      </c>
      <c r="AF27">
        <f t="shared" si="16"/>
        <v>7.1054273576010019E-15</v>
      </c>
      <c r="AG27">
        <f t="shared" si="16"/>
        <v>0</v>
      </c>
      <c r="AH27">
        <f t="shared" si="16"/>
        <v>0</v>
      </c>
      <c r="AI27">
        <f t="shared" si="16"/>
        <v>7.1054273576010019E-15</v>
      </c>
      <c r="AJ27">
        <f>AJ5+AJ6+AJ7+AJ8-AJ9-AJ10-AJ11-AJ12-AJ13-2*AJ14-2*AJ15-3*AJ16-AJ17*4-AJ18*3</f>
        <v>-7.1054273576010019E-15</v>
      </c>
      <c r="AK27">
        <f>AK5+AK6+AK7+AK8-AK9-AK10-AK11-AK12-AK13-2*AK14-2*AK15-3*AK16-AK17*4-AK18*3</f>
        <v>-1.1102230246251565E-16</v>
      </c>
      <c r="AL27">
        <f t="shared" ref="AL27:AN27" si="17">AL5+AL6+AL7+AL8-AL9-AL10-AL11-AL12-AL13-2*AL14-2*AL15-3*AL16-AL17*4-AL18*3</f>
        <v>-5.3290705182007514E-15</v>
      </c>
      <c r="AM27">
        <f t="shared" si="17"/>
        <v>0</v>
      </c>
      <c r="AN27">
        <f t="shared" si="17"/>
        <v>5.3290705182007514E-15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Oxidant Feed Composition</vt:lpstr>
      <vt:lpstr>Chemical List</vt:lpstr>
      <vt:lpstr>eLLE Bals</vt:lpstr>
      <vt:lpstr>PFD with Stream Indices</vt:lpstr>
      <vt:lpstr>S1-3 Stg S2-4 Stg Stream Flows</vt:lpstr>
    </vt:vector>
  </TitlesOfParts>
  <Company>University of Texas at Austin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Sankaran, Adi</dc:creator>
  <cp:lastModifiedBy>Sankaran, Adi</cp:lastModifiedBy>
  <dcterms:created xsi:type="dcterms:W3CDTF">2026-05-27T13:37:03Z</dcterms:created>
  <dcterms:modified xsi:type="dcterms:W3CDTF">2026-06-10T15:34:21Z</dcterms:modified>
</cp:coreProperties>
</file>